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Envia-daki 001\Dropbox\1. GESTÃO\3. Expedição\3. Transferências\2. Romaneio\Backup\"/>
    </mc:Choice>
  </mc:AlternateContent>
  <xr:revisionPtr revIDLastSave="0" documentId="13_ncr:1_{E9AC8172-8CF9-4066-AF6E-0A925AD60F8C}" xr6:coauthVersionLast="47" xr6:coauthVersionMax="47" xr10:uidLastSave="{00000000-0000-0000-0000-000000000000}"/>
  <bookViews>
    <workbookView xWindow="-120" yWindow="-120" windowWidth="20730" windowHeight="11040" tabRatio="562" xr2:uid="{00000000-000D-0000-FFFF-FFFF00000000}"/>
  </bookViews>
  <sheets>
    <sheet name="MOTORISTA" sheetId="2" r:id="rId1"/>
    <sheet name="ENTREGADOR" sheetId="1" r:id="rId2"/>
    <sheet name="DEVOLUÇÃO" sheetId="4" r:id="rId3"/>
    <sheet name="BD" sheetId="3" r:id="rId4"/>
    <sheet name="VIVO MEDSIL" sheetId="5" r:id="rId5"/>
  </sheets>
  <definedNames>
    <definedName name="_xlnm._FilterDatabase" localSheetId="3" hidden="1">BD!$A$1:$D$70</definedName>
    <definedName name="_xlnm.Print_Area" localSheetId="2">DEVOLUÇÃO!$B$2:$F$38</definedName>
    <definedName name="_xlnm.Print_Area" localSheetId="0">MOTORISTA!$A$2:$J$60</definedName>
    <definedName name="_xlnm.Print_Area" localSheetId="4">'VIVO MEDSIL'!$A$1:$H$34</definedName>
    <definedName name="Cidades">OFFSET(BD!$A$2,,,COUNTA(BD!$A:$A)-1)</definedName>
    <definedName name="Conferente">OFFSET(BD!$J$2,,,COUNTA(BD!$J:$J)-1)</definedName>
    <definedName name="Entregador">OFFSET(BD!$C$2,,,COUNTA(BD!$C:$C)-1)</definedName>
    <definedName name="Motorista">OFFSET(BD!$G$2,,,COUNTA(BD!$G:$G)-1)</definedName>
    <definedName name="NF">BD!$S$2:$S$3</definedName>
    <definedName name="Operação">OFFSET(BD!$L$2,,,COUNTA(BD!$L:$L)-1)</definedName>
    <definedName name="Rotas">OFFSET(BD!$N$2,,,COUNTA(BD!$N:$N)-1)</definedName>
    <definedName name="VEICULO">BD!$P$2:$P$5</definedName>
  </definedNames>
  <calcPr calcId="191029"/>
</workbook>
</file>

<file path=xl/calcChain.xml><?xml version="1.0" encoding="utf-8"?>
<calcChain xmlns="http://schemas.openxmlformats.org/spreadsheetml/2006/main">
  <c r="H19" i="2" l="1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F6" i="2"/>
  <c r="E9" i="1"/>
  <c r="E10" i="1"/>
  <c r="E11" i="1"/>
  <c r="E12" i="1"/>
  <c r="E13" i="1"/>
  <c r="E14" i="1"/>
  <c r="E15" i="1"/>
  <c r="E16" i="1"/>
  <c r="E17" i="1"/>
  <c r="E18" i="1"/>
  <c r="E3" i="2" l="1"/>
  <c r="B17" i="1" l="1"/>
  <c r="B16" i="1"/>
  <c r="B15" i="1"/>
  <c r="B14" i="1"/>
  <c r="B13" i="1"/>
  <c r="B12" i="1"/>
  <c r="B11" i="1"/>
  <c r="B10" i="1"/>
  <c r="B9" i="1"/>
  <c r="B8" i="1"/>
  <c r="F8" i="1" l="1"/>
  <c r="G8" i="1"/>
  <c r="D8" i="1" l="1"/>
  <c r="G9" i="1"/>
  <c r="F9" i="1"/>
  <c r="D9" i="1"/>
  <c r="H8" i="2"/>
  <c r="I8" i="2" l="1"/>
  <c r="I8" i="1" s="1"/>
  <c r="H8" i="1"/>
  <c r="D29" i="1"/>
  <c r="E29" i="1"/>
  <c r="F29" i="1"/>
  <c r="B29" i="1"/>
  <c r="H13" i="2"/>
  <c r="H12" i="2"/>
  <c r="I4" i="1" l="1"/>
  <c r="H9" i="5" l="1"/>
  <c r="H8" i="5"/>
  <c r="F14" i="1" l="1"/>
  <c r="H9" i="2" l="1"/>
  <c r="H9" i="1" s="1"/>
  <c r="H10" i="2"/>
  <c r="H10" i="1" s="1"/>
  <c r="H11" i="2"/>
  <c r="H18" i="2"/>
  <c r="H35" i="2" l="1"/>
  <c r="I35" i="2" s="1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9" i="1" s="1"/>
  <c r="E21" i="1" l="1"/>
  <c r="B32" i="1"/>
  <c r="B31" i="1"/>
  <c r="B30" i="1"/>
  <c r="B28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F32" i="1"/>
  <c r="F31" i="1"/>
  <c r="F30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3" i="1"/>
  <c r="F12" i="1"/>
  <c r="F11" i="1"/>
  <c r="F10" i="1"/>
  <c r="D32" i="1"/>
  <c r="E32" i="1"/>
  <c r="E31" i="1"/>
  <c r="E30" i="1"/>
  <c r="E28" i="1"/>
  <c r="D31" i="1"/>
  <c r="D28" i="1"/>
  <c r="D30" i="1"/>
  <c r="E27" i="1"/>
  <c r="E26" i="1"/>
  <c r="E25" i="1"/>
  <c r="E24" i="1"/>
  <c r="E23" i="1"/>
  <c r="E22" i="1"/>
  <c r="E20" i="1"/>
  <c r="E19" i="1"/>
  <c r="B18" i="1"/>
  <c r="B19" i="1"/>
  <c r="B20" i="1"/>
  <c r="B21" i="1"/>
  <c r="B22" i="1"/>
  <c r="B23" i="1"/>
  <c r="B24" i="1"/>
  <c r="B25" i="1"/>
  <c r="B26" i="1"/>
  <c r="B27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H26" i="1" l="1"/>
  <c r="I27" i="1" l="1"/>
  <c r="H27" i="1"/>
  <c r="I26" i="1"/>
  <c r="G23" i="5"/>
  <c r="H23" i="5" s="1"/>
  <c r="G22" i="5"/>
  <c r="H22" i="5" s="1"/>
  <c r="G21" i="5"/>
  <c r="H21" i="5" s="1"/>
  <c r="G20" i="5"/>
  <c r="H20" i="5" s="1"/>
  <c r="G19" i="5"/>
  <c r="H19" i="5" s="1"/>
  <c r="G18" i="5"/>
  <c r="H18" i="5" s="1"/>
  <c r="G17" i="5"/>
  <c r="H17" i="5" s="1"/>
  <c r="G16" i="5"/>
  <c r="H16" i="5" s="1"/>
  <c r="G15" i="5"/>
  <c r="H15" i="5" s="1"/>
  <c r="G14" i="5"/>
  <c r="H14" i="5" s="1"/>
  <c r="G4" i="5"/>
  <c r="G5" i="5" s="1"/>
  <c r="H4" i="5"/>
  <c r="H5" i="5" s="1"/>
  <c r="H7" i="5"/>
  <c r="E24" i="5"/>
  <c r="D24" i="5"/>
  <c r="D5" i="5" s="1"/>
  <c r="D3" i="5"/>
  <c r="J4" i="1"/>
  <c r="J3" i="1"/>
  <c r="I3" i="1"/>
  <c r="H11" i="1"/>
  <c r="H12" i="1"/>
  <c r="H13" i="1"/>
  <c r="H14" i="1"/>
  <c r="H16" i="1"/>
  <c r="H18" i="1"/>
  <c r="H20" i="1"/>
  <c r="H21" i="1"/>
  <c r="H24" i="1"/>
  <c r="I23" i="1" l="1"/>
  <c r="H23" i="1"/>
  <c r="I15" i="1"/>
  <c r="H15" i="1"/>
  <c r="I22" i="1"/>
  <c r="H22" i="1"/>
  <c r="I31" i="1"/>
  <c r="H31" i="1"/>
  <c r="I30" i="1"/>
  <c r="H30" i="1"/>
  <c r="I29" i="1"/>
  <c r="H29" i="1"/>
  <c r="I19" i="1"/>
  <c r="H19" i="1"/>
  <c r="I28" i="1"/>
  <c r="H28" i="1"/>
  <c r="I25" i="1"/>
  <c r="H25" i="1"/>
  <c r="I17" i="1"/>
  <c r="H17" i="1"/>
  <c r="I32" i="1"/>
  <c r="H32" i="1"/>
  <c r="I13" i="1"/>
  <c r="I11" i="1"/>
  <c r="I14" i="1"/>
  <c r="I12" i="1"/>
  <c r="I10" i="1"/>
  <c r="I18" i="1"/>
  <c r="I20" i="1"/>
  <c r="I21" i="1"/>
  <c r="I24" i="1"/>
  <c r="I16" i="1"/>
  <c r="I5" i="1"/>
  <c r="D6" i="4"/>
  <c r="F2" i="4"/>
  <c r="E3" i="1"/>
  <c r="J2" i="1"/>
</calcChain>
</file>

<file path=xl/sharedStrings.xml><?xml version="1.0" encoding="utf-8"?>
<sst xmlns="http://schemas.openxmlformats.org/spreadsheetml/2006/main" count="417" uniqueCount="259">
  <si>
    <t>Nº:</t>
  </si>
  <si>
    <t>DATA:
HORA:</t>
  </si>
  <si>
    <t>CONFERENTE:</t>
  </si>
  <si>
    <t>Belo Campo</t>
  </si>
  <si>
    <t>JOSÉ CARLOS  -  (77)  9 9929-0142</t>
  </si>
  <si>
    <t>MOTORISTA:</t>
  </si>
  <si>
    <t>Condeúba</t>
  </si>
  <si>
    <t>MATEUS - (77) 9 9186-8086</t>
  </si>
  <si>
    <t>CONTATO:</t>
  </si>
  <si>
    <t>Cordeiros</t>
  </si>
  <si>
    <t>MARCOS  SANTOS - (77) 9 8864-3480</t>
  </si>
  <si>
    <t>Piripá</t>
  </si>
  <si>
    <t>IURY  BARBOSA - (77) 9 8160-8953</t>
  </si>
  <si>
    <t>SACAS:</t>
  </si>
  <si>
    <t>AVULSOS:</t>
  </si>
  <si>
    <t>RESPONSÁVEL RECEBIMENTO:</t>
  </si>
  <si>
    <t>OBSERVAÇÕES:</t>
  </si>
  <si>
    <t>Itororó</t>
  </si>
  <si>
    <t>DIEGO MENDONÇA -  (73) 9 9935-3657</t>
  </si>
  <si>
    <t>Itambé</t>
  </si>
  <si>
    <t xml:space="preserve">EVERTON - (77) 9 9911-5047 </t>
  </si>
  <si>
    <t>Maiquinique</t>
  </si>
  <si>
    <t>JÚNIOR MEIRA - (77) 9 9113-0813</t>
  </si>
  <si>
    <t>Anagé</t>
  </si>
  <si>
    <t>MACILENE - (77) 9 9848-2159</t>
  </si>
  <si>
    <t>Caraíbas</t>
  </si>
  <si>
    <t>VANDO - (77) 9 8132-7520</t>
  </si>
  <si>
    <t>Aracatu</t>
  </si>
  <si>
    <t>Brumado</t>
  </si>
  <si>
    <t>PAULINO - (77) 9 9858-3718</t>
  </si>
  <si>
    <t>LUCILÉIA SANTOS - (77) 9 8144-9006</t>
  </si>
  <si>
    <t>ASSINATURA CONFERENTE</t>
  </si>
  <si>
    <t>ASSINATURA MOTORISTA</t>
  </si>
  <si>
    <t>Malhada de Pedras</t>
  </si>
  <si>
    <t>TIAGO - (77) 9 8874-9749</t>
  </si>
  <si>
    <t>Rio do Antônio</t>
  </si>
  <si>
    <t>Caetité</t>
  </si>
  <si>
    <t>ROBSON - (77) 9 9993-4688</t>
  </si>
  <si>
    <t>Jacaraci</t>
  </si>
  <si>
    <t>AILTON - (77) 9 9202-3343</t>
  </si>
  <si>
    <t>Licínio de Almeida</t>
  </si>
  <si>
    <t>LUCINEIDE NUNES - (77) 9 9140-5340</t>
  </si>
  <si>
    <t>Mortugaba</t>
  </si>
  <si>
    <t>THAIS - (77) 9 9195-5184</t>
  </si>
  <si>
    <t>Candiba</t>
  </si>
  <si>
    <t>RAFAEL - 9 8109-3079</t>
  </si>
  <si>
    <t>Carinhanha</t>
  </si>
  <si>
    <t>SINARA - (77) 9 9868-7098</t>
  </si>
  <si>
    <t>Iuiu</t>
  </si>
  <si>
    <t>GILVAN SANTANA - (77) 9 8130-9190</t>
  </si>
  <si>
    <t>Malhada</t>
  </si>
  <si>
    <t>Matina</t>
  </si>
  <si>
    <t>ROBSON DE JESUS - (77) 9 9147-9710</t>
  </si>
  <si>
    <t>Palmas de Monte Alto</t>
  </si>
  <si>
    <t>GILIARD  - (77) 9 9922-3396</t>
  </si>
  <si>
    <t>Pindaí</t>
  </si>
  <si>
    <t>ELSON -  (77) 9 9818-4567</t>
  </si>
  <si>
    <t>Sebastião Laranjeiras</t>
  </si>
  <si>
    <t>APARECIDO CORREIA - (77) 9 9165-2950</t>
  </si>
  <si>
    <t>Urandi</t>
  </si>
  <si>
    <t>ROÉRIO MELO - (77) 9 9125-0562</t>
  </si>
  <si>
    <t>Guanambi</t>
  </si>
  <si>
    <t>Vitória da Conquista</t>
  </si>
  <si>
    <t>ROMANEIO DE ENTREGA</t>
  </si>
  <si>
    <t>RHEUBER</t>
  </si>
  <si>
    <t>ANDERSON QUEIROZ</t>
  </si>
  <si>
    <t xml:space="preserve">ROTA PORTA A PORTA: </t>
  </si>
  <si>
    <t>EMPRESA:</t>
  </si>
  <si>
    <t>TOTAL:</t>
  </si>
  <si>
    <t>CIDADES:</t>
  </si>
  <si>
    <t>ASSINATURA DO ENTREGADOR:</t>
  </si>
  <si>
    <t>ROMANEIO DE DEVOLUÇÃO</t>
  </si>
  <si>
    <t>ETIQUETA</t>
  </si>
  <si>
    <t>CIDADE</t>
  </si>
  <si>
    <t>RESPONSÁVEL</t>
  </si>
  <si>
    <t>ENTREGADOR</t>
  </si>
  <si>
    <t>CONTATO</t>
  </si>
  <si>
    <t>MOTORISTA</t>
  </si>
  <si>
    <t>CONFERENTE</t>
  </si>
  <si>
    <t>OPERAÇÃO</t>
  </si>
  <si>
    <t>ANAGÉ</t>
  </si>
  <si>
    <t>SHOPEE</t>
  </si>
  <si>
    <t>ARACATU</t>
  </si>
  <si>
    <t>ALEX PINTO</t>
  </si>
  <si>
    <t>LIANDRO OLIVEIRA</t>
  </si>
  <si>
    <t>ALEX SOUZA</t>
  </si>
  <si>
    <t>LOGGI</t>
  </si>
  <si>
    <t>IBIASSUCÊ</t>
  </si>
  <si>
    <t>BARRA DA ESTIVA</t>
  </si>
  <si>
    <t>RAIMUNDO HONÓRIO</t>
  </si>
  <si>
    <t>ITUAÇU</t>
  </si>
  <si>
    <t>BARRA DO CHOÇA</t>
  </si>
  <si>
    <t>VICTOR RIBEIRO</t>
  </si>
  <si>
    <t>AMAZON</t>
  </si>
  <si>
    <t>BELO CAMPO</t>
  </si>
  <si>
    <t>JOSÉ CARLOS</t>
  </si>
  <si>
    <t>LUCAS HENRIQUE</t>
  </si>
  <si>
    <t>VIVO</t>
  </si>
  <si>
    <t>BOA NOVA</t>
  </si>
  <si>
    <t>JULIANO</t>
  </si>
  <si>
    <t>MEDSIL</t>
  </si>
  <si>
    <t>POÇOES</t>
  </si>
  <si>
    <t>BOM JESUS DA SERRA</t>
  </si>
  <si>
    <t>UELLIGTON</t>
  </si>
  <si>
    <t>BRUMADO</t>
  </si>
  <si>
    <t>WAGNER</t>
  </si>
  <si>
    <t>CAETANOS</t>
  </si>
  <si>
    <t>EDVALDO</t>
  </si>
  <si>
    <t>CAETITE</t>
  </si>
  <si>
    <t>CACULÉ</t>
  </si>
  <si>
    <t>ELSON</t>
  </si>
  <si>
    <t>TALLIS GEAN</t>
  </si>
  <si>
    <t>CÂNDIDO SALES</t>
  </si>
  <si>
    <t>CARAÍBAS</t>
  </si>
  <si>
    <t>CAETITÉ</t>
  </si>
  <si>
    <t>GUANAMBI</t>
  </si>
  <si>
    <t>CONDEÚBA</t>
  </si>
  <si>
    <t>CORDEIROS</t>
  </si>
  <si>
    <t>CARINHANHA</t>
  </si>
  <si>
    <t>LIVRAMENTO DE NOSSA SENHORA</t>
  </si>
  <si>
    <t>ENCRUZILHADA</t>
  </si>
  <si>
    <t>CONTENDAS DO SINCORÁ</t>
  </si>
  <si>
    <t>ÉRICO CARDOSO</t>
  </si>
  <si>
    <t>IGUAI</t>
  </si>
  <si>
    <t>DOM BASÍLIO</t>
  </si>
  <si>
    <t>ITAPETINGA</t>
  </si>
  <si>
    <t>ABAÍRA</t>
  </si>
  <si>
    <t>MAETINGA</t>
  </si>
  <si>
    <t>GUAJERU</t>
  </si>
  <si>
    <t>NEY</t>
  </si>
  <si>
    <t>PARAMIRIM</t>
  </si>
  <si>
    <t>PIRIPA</t>
  </si>
  <si>
    <t>PRESIDENTE JÂNIO QUADROS</t>
  </si>
  <si>
    <t>IBICOARA</t>
  </si>
  <si>
    <t>RIBEIRÃO DO LARGO</t>
  </si>
  <si>
    <t>IBITIRA</t>
  </si>
  <si>
    <t>77 988222073</t>
  </si>
  <si>
    <t>TREMEDAL</t>
  </si>
  <si>
    <t>IGUAÍ</t>
  </si>
  <si>
    <t>HENRIQUE</t>
  </si>
  <si>
    <t>ITAMBÉ</t>
  </si>
  <si>
    <t>ITARANTIM</t>
  </si>
  <si>
    <t>ITORORÓ</t>
  </si>
  <si>
    <t>CARLOS DIEGO</t>
  </si>
  <si>
    <t>IUIÚ</t>
  </si>
  <si>
    <t>JACARACI</t>
  </si>
  <si>
    <t>JUSSIAPE</t>
  </si>
  <si>
    <t>LAGOA REAL</t>
  </si>
  <si>
    <t>LICÍNIO DE ALMEIDA</t>
  </si>
  <si>
    <t>MACARANI</t>
  </si>
  <si>
    <t>MAIQUINIQUE</t>
  </si>
  <si>
    <t>MALHADA</t>
  </si>
  <si>
    <t>MALHADA DE PEDRAS</t>
  </si>
  <si>
    <t>MANOEL VITORINO</t>
  </si>
  <si>
    <t>MATINA</t>
  </si>
  <si>
    <t>MIRANTE</t>
  </si>
  <si>
    <t>MORTUGABA</t>
  </si>
  <si>
    <t>NOVA CANAÃ</t>
  </si>
  <si>
    <t>PALMAS DE MONTE ALTO</t>
  </si>
  <si>
    <t>PINDAÍ</t>
  </si>
  <si>
    <t>PIRIPÁ</t>
  </si>
  <si>
    <t>PLANALTO</t>
  </si>
  <si>
    <t>POÇÕES</t>
  </si>
  <si>
    <t>POTIRAGUÁ</t>
  </si>
  <si>
    <t>IRIS LIMA</t>
  </si>
  <si>
    <t>RIO DE CONTAS</t>
  </si>
  <si>
    <t>RIO DO ANTÔNIO</t>
  </si>
  <si>
    <t>SEBASTIÃO LARANJEIRAS</t>
  </si>
  <si>
    <t>TANHAÇU</t>
  </si>
  <si>
    <t>URANDI</t>
  </si>
  <si>
    <t>ASSINATURA DO MOTORISTA:</t>
  </si>
  <si>
    <t>ABAIRA</t>
  </si>
  <si>
    <t>PIATÃ</t>
  </si>
  <si>
    <t>OPERAÇÃO:</t>
  </si>
  <si>
    <t>CIDADE:</t>
  </si>
  <si>
    <t>KM DA ROTA:</t>
  </si>
  <si>
    <t>ISAEL SILVA TIGRE</t>
  </si>
  <si>
    <t>RAFAEL</t>
  </si>
  <si>
    <t>ALEXANDRE</t>
  </si>
  <si>
    <t>ROTAS</t>
  </si>
  <si>
    <t>AVULSO</t>
  </si>
  <si>
    <t>VEICULO</t>
  </si>
  <si>
    <t>3/4</t>
  </si>
  <si>
    <t>VAN</t>
  </si>
  <si>
    <t>FIORINO</t>
  </si>
  <si>
    <t>VALOR</t>
  </si>
  <si>
    <t>VALOR TOTAL:</t>
  </si>
  <si>
    <t>NF</t>
  </si>
  <si>
    <t>TOTAL</t>
  </si>
  <si>
    <t>ROMANEIO</t>
  </si>
  <si>
    <t xml:space="preserve">ROTA TRANSFERENCIA </t>
  </si>
  <si>
    <t xml:space="preserve">ROTA PORTA A PORTA </t>
  </si>
  <si>
    <t>DATA/HORA DE SAÍDA:</t>
  </si>
  <si>
    <t>Ass.Conferente:</t>
  </si>
  <si>
    <t>ENTREGADOR:</t>
  </si>
  <si>
    <t>VALOR:</t>
  </si>
  <si>
    <t>EMPRESA</t>
  </si>
  <si>
    <t>NOTA FISCAL</t>
  </si>
  <si>
    <t>QT. VOLS</t>
  </si>
  <si>
    <t>QT. NF</t>
  </si>
  <si>
    <t>CIDADES</t>
  </si>
  <si>
    <t>Ass. Entregador</t>
  </si>
  <si>
    <t>QT. TOTAL</t>
  </si>
  <si>
    <t>OBSERVAÇÕES</t>
  </si>
  <si>
    <t>ITAETE</t>
  </si>
  <si>
    <t>VANDO</t>
  </si>
  <si>
    <t>TIAGO ASIS</t>
  </si>
  <si>
    <t>CANDIBA</t>
  </si>
  <si>
    <t>JOEL DE ANDRADE</t>
  </si>
  <si>
    <t>FIXO</t>
  </si>
  <si>
    <t>ADSON SAMPAIO</t>
  </si>
  <si>
    <t>JULIANA</t>
  </si>
  <si>
    <t>SIDNEY JOSE</t>
  </si>
  <si>
    <t>CLAUDIO</t>
  </si>
  <si>
    <t>UESLEI  MISSIAS</t>
  </si>
  <si>
    <t>VITOR OLIVEIRA</t>
  </si>
  <si>
    <t>NEOVAN SILVA</t>
  </si>
  <si>
    <t>ELSON ADÃO</t>
  </si>
  <si>
    <t xml:space="preserve">JEFTE FERREIRA </t>
  </si>
  <si>
    <t>CELCILEIDE SOUSA DOS SANTOS</t>
  </si>
  <si>
    <t>EDIMAR SILVA SANTOS</t>
  </si>
  <si>
    <t>VANDERLI TEIXEIRA DA ROCHA</t>
  </si>
  <si>
    <t xml:space="preserve">HEVERTON MICHAEL SANTOS SANTANA </t>
  </si>
  <si>
    <t>GABRIEL NOVAES</t>
  </si>
  <si>
    <t xml:space="preserve">GILSON LIMA PEREIRA </t>
  </si>
  <si>
    <t>HELIO FERREIRA</t>
  </si>
  <si>
    <t>ISNAR BONFIM</t>
  </si>
  <si>
    <t>IURY BARBOSA RIBEIRO MAIA</t>
  </si>
  <si>
    <t>JANAINA DOS SANTOS VIEIRA</t>
  </si>
  <si>
    <t>AURELIO DAS VIRGENS MEIRA JUNIOR</t>
  </si>
  <si>
    <t>MACILENE AMARAL CORDEIRO</t>
  </si>
  <si>
    <t>MARCOS NASCIMENTO DOS SANTOS</t>
  </si>
  <si>
    <t>MARCOS SANTOS MOREIRA</t>
  </si>
  <si>
    <t>MATEUS DE BRITO VERDELHO</t>
  </si>
  <si>
    <t>PATRICIA SANTOS DE JESUS</t>
  </si>
  <si>
    <t>ROBISON DA SILVA BRITO</t>
  </si>
  <si>
    <t>SAMUEL OLIVEIRA DOS SANTOS</t>
  </si>
  <si>
    <t>JOAQUIM COTINGUIBA</t>
  </si>
  <si>
    <t>TIAGO DA SILVA ASSIS</t>
  </si>
  <si>
    <t>VITOR OLIVEIRA DE AZEVEDO SILVA</t>
  </si>
  <si>
    <t>MATEUS ALMEIDA OLIVEIRA</t>
  </si>
  <si>
    <t>ICARO</t>
  </si>
  <si>
    <t>SERGIO</t>
  </si>
  <si>
    <t>VITOR</t>
  </si>
  <si>
    <t>ITAPETINGA 1</t>
  </si>
  <si>
    <t>ITAPETINGA 2</t>
  </si>
  <si>
    <t>ITAPETINGA 3</t>
  </si>
  <si>
    <t>ITAPETINGA 4</t>
  </si>
  <si>
    <t>ITAPETINGA 5</t>
  </si>
  <si>
    <t>MAICON DE SOUZA SILVA</t>
  </si>
  <si>
    <t>YCARO DA SILVA FRANÇA DE SOUZA</t>
  </si>
  <si>
    <t>MARLON FEITOSA DA SILVA</t>
  </si>
  <si>
    <t>VANESSA DE SOUSA SILVA</t>
  </si>
  <si>
    <t>IMILE</t>
  </si>
  <si>
    <t>PEDRO</t>
  </si>
  <si>
    <t>ITAPETINGA 6</t>
  </si>
  <si>
    <t>ITAPETINGA 7</t>
  </si>
  <si>
    <t>GUANAMBI PONTAS</t>
  </si>
  <si>
    <t>COM ABASTECIMENTO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</si>
</sst>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R$&quot;* #,##0.00_);_(&quot;R$&quot;* \(#,##0.00\);_(&quot;R$&quot;* &quot;-&quot;??_);_(@_)"/>
    <numFmt numFmtId="165" formatCode="d/m/yy\ h:mm;@"/>
    <numFmt numFmtId="166" formatCode="&quot;(&quot;##&quot;)&quot;\ #&quot;-&quot;####&quot;-&quot;####"/>
    <numFmt numFmtId="167" formatCode="dd/mm/yyyy\ h:mm"/>
    <numFmt numFmtId="168" formatCode="&quot;(&quot;##&quot;)&quot;\ #####&quot;-&quot;####"/>
    <numFmt numFmtId="169" formatCode="&quot;(&quot;##&quot;)&quot;#####&quot;-&quot;####"/>
    <numFmt numFmtId="170" formatCode="_(* #,##0.00_);_(* \(#,##0.00\);_(* &quot;-&quot;??_);_(@_)"/>
    <numFmt numFmtId="171" formatCode="&quot;R$&quot;\ #,##0.00"/>
  </numFmts>
  <fonts count="4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6"/>
      <color theme="1"/>
      <name val="Calibri"/>
      <family val="2"/>
      <scheme val="major"/>
    </font>
    <font>
      <b/>
      <sz val="36"/>
      <color theme="1"/>
      <name val="Calibri"/>
      <family val="2"/>
      <scheme val="major"/>
    </font>
    <font>
      <sz val="16"/>
      <name val="Calibri"/>
      <family val="2"/>
      <scheme val="major"/>
    </font>
    <font>
      <b/>
      <sz val="16"/>
      <color theme="1"/>
      <name val="Calibri"/>
      <family val="2"/>
      <scheme val="major"/>
    </font>
    <font>
      <i/>
      <u/>
      <sz val="16"/>
      <color theme="1"/>
      <name val="Calibri"/>
      <family val="2"/>
      <scheme val="major"/>
    </font>
    <font>
      <sz val="11"/>
      <color theme="1"/>
      <name val="Calibri"/>
      <family val="2"/>
      <scheme val="major"/>
    </font>
    <font>
      <sz val="18"/>
      <color theme="1"/>
      <name val="Calibri"/>
      <family val="2"/>
      <scheme val="major"/>
    </font>
    <font>
      <sz val="36"/>
      <name val="Calibri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Verdana"/>
      <family val="2"/>
    </font>
    <font>
      <sz val="26"/>
      <name val="Calibri"/>
      <family val="2"/>
    </font>
    <font>
      <i/>
      <u/>
      <sz val="20"/>
      <name val="Calibri"/>
      <family val="2"/>
    </font>
    <font>
      <b/>
      <sz val="18"/>
      <color theme="1"/>
      <name val="Calibri"/>
      <family val="2"/>
      <scheme val="maj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Verdana"/>
      <family val="2"/>
    </font>
    <font>
      <sz val="12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8"/>
      <color theme="1"/>
      <name val="Verdana"/>
      <family val="2"/>
    </font>
    <font>
      <b/>
      <sz val="11"/>
      <name val="Verdana"/>
      <family val="2"/>
    </font>
    <font>
      <b/>
      <i/>
      <sz val="16"/>
      <name val="Verdana"/>
      <family val="2"/>
    </font>
    <font>
      <b/>
      <sz val="9"/>
      <name val="Verdana"/>
      <family val="2"/>
    </font>
    <font>
      <sz val="9"/>
      <color theme="1"/>
      <name val="Calibri"/>
      <family val="2"/>
      <scheme val="minor"/>
    </font>
    <font>
      <sz val="8"/>
      <name val="Verdana"/>
      <family val="2"/>
    </font>
    <font>
      <sz val="16"/>
      <name val="Verdana"/>
      <family val="2"/>
    </font>
    <font>
      <b/>
      <sz val="18"/>
      <name val="Verdana"/>
      <family val="2"/>
    </font>
    <font>
      <u/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sz val="11"/>
      <name val="Calibri"/>
      <family val="2"/>
    </font>
    <font>
      <sz val="16"/>
      <color rgb="FF2E3545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name val="Calibri"/>
    </font>
  </fonts>
  <fills count="1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FFFFCC"/>
        <bgColor theme="0"/>
      </patternFill>
    </fill>
    <fill>
      <patternFill patternType="solid">
        <fgColor rgb="FFFFFFC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8535111545152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79995117038483843"/>
        <bgColor indexed="64"/>
      </patternFill>
    </fill>
  </fills>
  <borders count="5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50505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50505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rgb="FF505050"/>
      </top>
      <bottom/>
      <diagonal/>
    </border>
    <border>
      <left/>
      <right style="thin">
        <color rgb="FF505050"/>
      </right>
      <top style="thin">
        <color rgb="FF505050"/>
      </top>
      <bottom/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505050"/>
      </right>
      <top/>
      <bottom style="thin">
        <color rgb="FF000000"/>
      </bottom>
      <diagonal/>
    </border>
    <border>
      <left style="thin">
        <color rgb="FF000000"/>
      </left>
      <right style="thin">
        <color rgb="FF50505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164" fontId="2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239">
    <xf numFmtId="0" fontId="0" fillId="0" borderId="0" xfId="0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3" fillId="0" borderId="2" xfId="0" applyFont="1" applyBorder="1"/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7" fillId="0" borderId="0" xfId="0" applyFont="1"/>
    <xf numFmtId="0" fontId="7" fillId="3" borderId="6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/>
    </xf>
    <xf numFmtId="0" fontId="12" fillId="0" borderId="17" xfId="0" applyFont="1" applyBorder="1"/>
    <xf numFmtId="0" fontId="12" fillId="0" borderId="18" xfId="0" applyFont="1" applyBorder="1"/>
    <xf numFmtId="0" fontId="12" fillId="0" borderId="21" xfId="0" applyFont="1" applyBorder="1"/>
    <xf numFmtId="0" fontId="12" fillId="0" borderId="0" xfId="0" applyFont="1"/>
    <xf numFmtId="0" fontId="12" fillId="0" borderId="19" xfId="0" applyFont="1" applyBorder="1"/>
    <xf numFmtId="0" fontId="12" fillId="0" borderId="20" xfId="0" applyFont="1" applyBorder="1"/>
    <xf numFmtId="0" fontId="8" fillId="2" borderId="22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166" fontId="7" fillId="0" borderId="1" xfId="0" applyNumberFormat="1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12" fillId="0" borderId="27" xfId="0" applyFont="1" applyBorder="1"/>
    <xf numFmtId="0" fontId="12" fillId="0" borderId="29" xfId="0" applyFont="1" applyBorder="1"/>
    <xf numFmtId="0" fontId="12" fillId="0" borderId="28" xfId="0" applyFont="1" applyBorder="1"/>
    <xf numFmtId="0" fontId="13" fillId="0" borderId="1" xfId="0" applyFont="1" applyBorder="1" applyAlignment="1">
      <alignment horizontal="center"/>
    </xf>
    <xf numFmtId="166" fontId="13" fillId="0" borderId="1" xfId="0" applyNumberFormat="1" applyFont="1" applyBorder="1" applyAlignment="1">
      <alignment horizontal="center"/>
    </xf>
    <xf numFmtId="0" fontId="8" fillId="2" borderId="16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1" fontId="13" fillId="5" borderId="34" xfId="0" applyNumberFormat="1" applyFont="1" applyFill="1" applyBorder="1" applyAlignment="1" applyProtection="1">
      <alignment horizontal="center" vertical="center"/>
      <protection locked="0"/>
    </xf>
    <xf numFmtId="1" fontId="13" fillId="5" borderId="1" xfId="0" applyNumberFormat="1" applyFont="1" applyFill="1" applyBorder="1" applyAlignment="1" applyProtection="1">
      <alignment horizontal="center" vertical="center"/>
      <protection locked="0"/>
    </xf>
    <xf numFmtId="1" fontId="7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5" borderId="16" xfId="0" applyNumberFormat="1" applyFont="1" applyFill="1" applyBorder="1" applyAlignment="1" applyProtection="1">
      <alignment horizontal="center"/>
      <protection locked="0"/>
    </xf>
    <xf numFmtId="0" fontId="8" fillId="2" borderId="12" xfId="0" applyFont="1" applyFill="1" applyBorder="1" applyAlignment="1">
      <alignment horizontal="center" vertical="center"/>
    </xf>
    <xf numFmtId="0" fontId="14" fillId="0" borderId="0" xfId="0" applyFont="1"/>
    <xf numFmtId="49" fontId="7" fillId="5" borderId="1" xfId="0" applyNumberFormat="1" applyFont="1" applyFill="1" applyBorder="1" applyAlignment="1" applyProtection="1">
      <alignment horizontal="center"/>
      <protection locked="0"/>
    </xf>
    <xf numFmtId="49" fontId="5" fillId="0" borderId="0" xfId="0" applyNumberFormat="1" applyFont="1"/>
    <xf numFmtId="0" fontId="15" fillId="6" borderId="2" xfId="0" applyFont="1" applyFill="1" applyBorder="1" applyAlignment="1">
      <alignment horizontal="center"/>
    </xf>
    <xf numFmtId="0" fontId="7" fillId="4" borderId="1" xfId="0" applyFont="1" applyFill="1" applyBorder="1" applyAlignment="1" applyProtection="1">
      <alignment horizontal="center" vertical="center"/>
      <protection locked="0"/>
    </xf>
    <xf numFmtId="0" fontId="15" fillId="7" borderId="2" xfId="0" applyFont="1" applyFill="1" applyBorder="1" applyAlignment="1">
      <alignment horizontal="center"/>
    </xf>
    <xf numFmtId="0" fontId="16" fillId="8" borderId="2" xfId="0" applyFont="1" applyFill="1" applyBorder="1" applyAlignment="1">
      <alignment horizontal="center"/>
    </xf>
    <xf numFmtId="0" fontId="15" fillId="8" borderId="2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5" fillId="9" borderId="2" xfId="0" applyFont="1" applyFill="1" applyBorder="1" applyAlignment="1">
      <alignment horizontal="center"/>
    </xf>
    <xf numFmtId="0" fontId="5" fillId="0" borderId="0" xfId="0" applyFont="1"/>
    <xf numFmtId="0" fontId="18" fillId="0" borderId="0" xfId="0" applyFont="1"/>
    <xf numFmtId="0" fontId="15" fillId="10" borderId="2" xfId="0" applyFont="1" applyFill="1" applyBorder="1" applyAlignment="1">
      <alignment horizontal="center"/>
    </xf>
    <xf numFmtId="0" fontId="19" fillId="0" borderId="0" xfId="0" applyFont="1"/>
    <xf numFmtId="0" fontId="15" fillId="11" borderId="2" xfId="0" applyFont="1" applyFill="1" applyBorder="1" applyAlignment="1">
      <alignment horizontal="center"/>
    </xf>
    <xf numFmtId="0" fontId="15" fillId="12" borderId="2" xfId="0" applyFont="1" applyFill="1" applyBorder="1" applyAlignment="1">
      <alignment horizontal="center"/>
    </xf>
    <xf numFmtId="0" fontId="15" fillId="12" borderId="35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0" fillId="2" borderId="8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5" fillId="0" borderId="5" xfId="0" applyFont="1" applyBorder="1"/>
    <xf numFmtId="0" fontId="5" fillId="0" borderId="4" xfId="0" applyFont="1" applyBorder="1"/>
    <xf numFmtId="0" fontId="6" fillId="0" borderId="20" xfId="0" applyFont="1" applyBorder="1"/>
    <xf numFmtId="0" fontId="5" fillId="0" borderId="18" xfId="0" applyFont="1" applyBorder="1"/>
    <xf numFmtId="0" fontId="5" fillId="0" borderId="3" xfId="0" applyFont="1" applyBorder="1"/>
    <xf numFmtId="0" fontId="3" fillId="0" borderId="28" xfId="0" applyFont="1" applyBorder="1"/>
    <xf numFmtId="0" fontId="3" fillId="0" borderId="19" xfId="0" applyFont="1" applyBorder="1"/>
    <xf numFmtId="0" fontId="5" fillId="0" borderId="27" xfId="0" applyFont="1" applyBorder="1"/>
    <xf numFmtId="0" fontId="5" fillId="0" borderId="17" xfId="0" applyFont="1" applyBorder="1"/>
    <xf numFmtId="1" fontId="13" fillId="5" borderId="12" xfId="0" applyNumberFormat="1" applyFont="1" applyFill="1" applyBorder="1" applyAlignment="1" applyProtection="1">
      <alignment horizontal="center" vertical="center"/>
      <protection locked="0"/>
    </xf>
    <xf numFmtId="165" fontId="10" fillId="2" borderId="9" xfId="0" applyNumberFormat="1" applyFont="1" applyFill="1" applyBorder="1" applyAlignment="1">
      <alignment horizontal="center" vertical="center" wrapText="1"/>
    </xf>
    <xf numFmtId="166" fontId="7" fillId="0" borderId="24" xfId="0" applyNumberFormat="1" applyFont="1" applyBorder="1" applyAlignment="1">
      <alignment horizontal="center"/>
    </xf>
    <xf numFmtId="0" fontId="3" fillId="0" borderId="20" xfId="0" applyFont="1" applyBorder="1"/>
    <xf numFmtId="0" fontId="4" fillId="0" borderId="15" xfId="0" applyFont="1" applyBorder="1"/>
    <xf numFmtId="0" fontId="4" fillId="0" borderId="15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0" fillId="2" borderId="1" xfId="0" applyFont="1" applyFill="1" applyBorder="1" applyAlignment="1">
      <alignment vertical="center"/>
    </xf>
    <xf numFmtId="0" fontId="5" fillId="0" borderId="4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164" fontId="5" fillId="0" borderId="2" xfId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9" fontId="13" fillId="0" borderId="1" xfId="0" applyNumberFormat="1" applyFont="1" applyBorder="1" applyAlignment="1">
      <alignment horizontal="center"/>
    </xf>
    <xf numFmtId="0" fontId="1" fillId="0" borderId="0" xfId="2"/>
    <xf numFmtId="0" fontId="24" fillId="13" borderId="3" xfId="2" applyFont="1" applyFill="1" applyBorder="1" applyAlignment="1">
      <alignment horizontal="center" vertical="center"/>
    </xf>
    <xf numFmtId="0" fontId="24" fillId="13" borderId="42" xfId="2" applyFont="1" applyFill="1" applyBorder="1" applyAlignment="1">
      <alignment horizontal="center" vertical="center"/>
    </xf>
    <xf numFmtId="0" fontId="28" fillId="13" borderId="2" xfId="2" applyFont="1" applyFill="1" applyBorder="1" applyAlignment="1">
      <alignment horizontal="center" vertical="center"/>
    </xf>
    <xf numFmtId="0" fontId="29" fillId="13" borderId="4" xfId="2" applyFont="1" applyFill="1" applyBorder="1" applyAlignment="1">
      <alignment horizontal="center" vertical="center"/>
    </xf>
    <xf numFmtId="0" fontId="29" fillId="0" borderId="2" xfId="2" applyFont="1" applyBorder="1" applyAlignment="1">
      <alignment horizontal="center" vertical="center"/>
    </xf>
    <xf numFmtId="0" fontId="29" fillId="13" borderId="2" xfId="2" applyFont="1" applyFill="1" applyBorder="1" applyAlignment="1">
      <alignment horizontal="center" vertical="center"/>
    </xf>
    <xf numFmtId="0" fontId="30" fillId="0" borderId="2" xfId="2" applyFont="1" applyBorder="1" applyAlignment="1">
      <alignment horizontal="center" vertical="center"/>
    </xf>
    <xf numFmtId="0" fontId="31" fillId="0" borderId="0" xfId="2" applyFont="1"/>
    <xf numFmtId="164" fontId="0" fillId="0" borderId="0" xfId="3" applyFont="1"/>
    <xf numFmtId="164" fontId="1" fillId="0" borderId="0" xfId="2" applyNumberFormat="1"/>
    <xf numFmtId="0" fontId="34" fillId="15" borderId="2" xfId="2" applyFont="1" applyFill="1" applyBorder="1" applyAlignment="1">
      <alignment horizontal="center" vertical="center"/>
    </xf>
    <xf numFmtId="0" fontId="35" fillId="13" borderId="0" xfId="2" applyFont="1" applyFill="1" applyAlignment="1" applyProtection="1">
      <alignment horizontal="center" vertical="center"/>
      <protection locked="0"/>
    </xf>
    <xf numFmtId="0" fontId="32" fillId="13" borderId="0" xfId="2" applyFont="1" applyFill="1" applyAlignment="1" applyProtection="1">
      <alignment horizontal="center" vertical="center"/>
      <protection locked="0"/>
    </xf>
    <xf numFmtId="170" fontId="32" fillId="13" borderId="0" xfId="2" applyNumberFormat="1" applyFont="1" applyFill="1" applyAlignment="1" applyProtection="1">
      <alignment horizontal="center" vertical="center"/>
      <protection locked="0"/>
    </xf>
    <xf numFmtId="170" fontId="32" fillId="13" borderId="45" xfId="2" applyNumberFormat="1" applyFont="1" applyFill="1" applyBorder="1" applyAlignment="1" applyProtection="1">
      <alignment horizontal="center" vertical="center"/>
      <protection locked="0"/>
    </xf>
    <xf numFmtId="0" fontId="32" fillId="13" borderId="42" xfId="2" applyFont="1" applyFill="1" applyBorder="1" applyAlignment="1" applyProtection="1">
      <alignment horizontal="center" vertical="center"/>
      <protection locked="0"/>
    </xf>
    <xf numFmtId="0" fontId="1" fillId="13" borderId="0" xfId="2" applyFill="1" applyAlignment="1">
      <alignment horizontal="center" vertical="center"/>
    </xf>
    <xf numFmtId="0" fontId="36" fillId="13" borderId="44" xfId="2" applyFont="1" applyFill="1" applyBorder="1" applyAlignment="1" applyProtection="1">
      <alignment horizontal="center" vertical="center"/>
      <protection locked="0"/>
    </xf>
    <xf numFmtId="0" fontId="1" fillId="13" borderId="20" xfId="2" applyFill="1" applyBorder="1" applyAlignment="1">
      <alignment horizontal="center" vertical="center"/>
    </xf>
    <xf numFmtId="0" fontId="1" fillId="13" borderId="46" xfId="2" applyFill="1" applyBorder="1" applyAlignment="1">
      <alignment horizontal="center" vertical="center"/>
    </xf>
    <xf numFmtId="0" fontId="1" fillId="0" borderId="29" xfId="2" applyBorder="1"/>
    <xf numFmtId="0" fontId="38" fillId="0" borderId="27" xfId="0" applyFont="1" applyBorder="1"/>
    <xf numFmtId="0" fontId="38" fillId="0" borderId="17" xfId="0" applyFont="1" applyBorder="1"/>
    <xf numFmtId="0" fontId="38" fillId="0" borderId="18" xfId="0" applyFont="1" applyBorder="1" applyAlignment="1">
      <alignment horizontal="center"/>
    </xf>
    <xf numFmtId="168" fontId="13" fillId="0" borderId="1" xfId="0" applyNumberFormat="1" applyFont="1" applyBorder="1" applyAlignment="1">
      <alignment horizontal="center"/>
    </xf>
    <xf numFmtId="1" fontId="7" fillId="5" borderId="34" xfId="0" applyNumberFormat="1" applyFont="1" applyFill="1" applyBorder="1" applyAlignment="1" applyProtection="1">
      <alignment horizontal="center" vertical="center"/>
      <protection locked="0"/>
    </xf>
    <xf numFmtId="0" fontId="40" fillId="0" borderId="27" xfId="0" applyFont="1" applyBorder="1"/>
    <xf numFmtId="0" fontId="40" fillId="0" borderId="17" xfId="0" applyFont="1" applyBorder="1"/>
    <xf numFmtId="0" fontId="40" fillId="0" borderId="3" xfId="0" applyFont="1" applyBorder="1"/>
    <xf numFmtId="0" fontId="5" fillId="0" borderId="2" xfId="0" applyFont="1" applyBorder="1" applyAlignment="1">
      <alignment horizontal="center"/>
    </xf>
    <xf numFmtId="0" fontId="40" fillId="0" borderId="4" xfId="0" applyFont="1" applyBorder="1"/>
    <xf numFmtId="0" fontId="41" fillId="0" borderId="18" xfId="0" applyFont="1" applyBorder="1"/>
    <xf numFmtId="0" fontId="4" fillId="0" borderId="2" xfId="0" applyFont="1" applyBorder="1" applyAlignment="1">
      <alignment horizontal="center"/>
    </xf>
    <xf numFmtId="0" fontId="42" fillId="0" borderId="27" xfId="0" applyFont="1" applyBorder="1"/>
    <xf numFmtId="0" fontId="42" fillId="0" borderId="17" xfId="0" applyFont="1" applyBorder="1"/>
    <xf numFmtId="0" fontId="0" fillId="0" borderId="1" xfId="0" applyBorder="1"/>
    <xf numFmtId="0" fontId="10" fillId="2" borderId="30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8" fillId="2" borderId="30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/>
    </xf>
    <xf numFmtId="0" fontId="10" fillId="2" borderId="31" xfId="0" applyFont="1" applyFill="1" applyBorder="1" applyAlignment="1">
      <alignment horizontal="center" vertical="center" wrapText="1"/>
    </xf>
    <xf numFmtId="167" fontId="7" fillId="2" borderId="32" xfId="0" applyNumberFormat="1" applyFont="1" applyFill="1" applyBorder="1" applyAlignment="1">
      <alignment horizontal="center" vertical="center"/>
    </xf>
    <xf numFmtId="0" fontId="9" fillId="0" borderId="14" xfId="0" applyFont="1" applyBorder="1"/>
    <xf numFmtId="0" fontId="7" fillId="3" borderId="7" xfId="0" applyFont="1" applyFill="1" applyBorder="1" applyAlignment="1">
      <alignment horizontal="center" vertical="center"/>
    </xf>
    <xf numFmtId="0" fontId="9" fillId="0" borderId="0" xfId="0" applyFont="1"/>
    <xf numFmtId="0" fontId="9" fillId="0" borderId="7" xfId="0" applyFont="1" applyBorder="1"/>
    <xf numFmtId="0" fontId="20" fillId="2" borderId="17" xfId="0" applyFont="1" applyFill="1" applyBorder="1" applyAlignment="1">
      <alignment horizontal="left" vertical="top"/>
    </xf>
    <xf numFmtId="0" fontId="8" fillId="2" borderId="18" xfId="0" applyFont="1" applyFill="1" applyBorder="1" applyAlignment="1">
      <alignment horizontal="left" vertical="top"/>
    </xf>
    <xf numFmtId="0" fontId="8" fillId="2" borderId="27" xfId="0" applyFont="1" applyFill="1" applyBorder="1" applyAlignment="1">
      <alignment horizontal="left" vertical="top"/>
    </xf>
    <xf numFmtId="0" fontId="8" fillId="2" borderId="21" xfId="0" applyFont="1" applyFill="1" applyBorder="1" applyAlignment="1">
      <alignment horizontal="left" vertical="top"/>
    </xf>
    <xf numFmtId="0" fontId="8" fillId="2" borderId="0" xfId="0" applyFont="1" applyFill="1" applyAlignment="1">
      <alignment horizontal="left" vertical="top"/>
    </xf>
    <xf numFmtId="0" fontId="8" fillId="2" borderId="29" xfId="0" applyFont="1" applyFill="1" applyBorder="1" applyAlignment="1">
      <alignment horizontal="left" vertical="top"/>
    </xf>
    <xf numFmtId="0" fontId="8" fillId="2" borderId="19" xfId="0" applyFont="1" applyFill="1" applyBorder="1" applyAlignment="1">
      <alignment horizontal="left" vertical="top"/>
    </xf>
    <xf numFmtId="0" fontId="8" fillId="2" borderId="20" xfId="0" applyFont="1" applyFill="1" applyBorder="1" applyAlignment="1">
      <alignment horizontal="left" vertical="top"/>
    </xf>
    <xf numFmtId="0" fontId="8" fillId="2" borderId="28" xfId="0" applyFont="1" applyFill="1" applyBorder="1" applyAlignment="1">
      <alignment horizontal="left" vertical="top"/>
    </xf>
    <xf numFmtId="0" fontId="8" fillId="2" borderId="31" xfId="0" applyFont="1" applyFill="1" applyBorder="1" applyAlignment="1">
      <alignment horizontal="center" vertical="center"/>
    </xf>
    <xf numFmtId="0" fontId="8" fillId="2" borderId="32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0" fontId="11" fillId="2" borderId="17" xfId="0" applyFont="1" applyFill="1" applyBorder="1" applyAlignment="1">
      <alignment horizontal="center" vertical="top"/>
    </xf>
    <xf numFmtId="0" fontId="11" fillId="2" borderId="18" xfId="0" applyFont="1" applyFill="1" applyBorder="1" applyAlignment="1">
      <alignment horizontal="center" vertical="top"/>
    </xf>
    <xf numFmtId="0" fontId="11" fillId="2" borderId="27" xfId="0" applyFont="1" applyFill="1" applyBorder="1" applyAlignment="1">
      <alignment horizontal="center" vertical="top"/>
    </xf>
    <xf numFmtId="0" fontId="11" fillId="2" borderId="21" xfId="0" applyFont="1" applyFill="1" applyBorder="1" applyAlignment="1">
      <alignment horizontal="center" vertical="top"/>
    </xf>
    <xf numFmtId="0" fontId="11" fillId="2" borderId="0" xfId="0" applyFont="1" applyFill="1" applyAlignment="1">
      <alignment horizontal="center" vertical="top"/>
    </xf>
    <xf numFmtId="0" fontId="11" fillId="2" borderId="29" xfId="0" applyFont="1" applyFill="1" applyBorder="1" applyAlignment="1">
      <alignment horizontal="center" vertical="top"/>
    </xf>
    <xf numFmtId="0" fontId="11" fillId="2" borderId="19" xfId="0" applyFont="1" applyFill="1" applyBorder="1" applyAlignment="1">
      <alignment horizontal="center" vertical="top"/>
    </xf>
    <xf numFmtId="0" fontId="11" fillId="2" borderId="20" xfId="0" applyFont="1" applyFill="1" applyBorder="1" applyAlignment="1">
      <alignment horizontal="center" vertical="top"/>
    </xf>
    <xf numFmtId="0" fontId="11" fillId="2" borderId="28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center"/>
    </xf>
    <xf numFmtId="0" fontId="9" fillId="0" borderId="6" xfId="0" applyFont="1" applyBorder="1"/>
    <xf numFmtId="165" fontId="7" fillId="2" borderId="0" xfId="0" applyNumberFormat="1" applyFont="1" applyFill="1" applyAlignment="1">
      <alignment horizontal="center" vertical="center"/>
    </xf>
    <xf numFmtId="165" fontId="7" fillId="2" borderId="10" xfId="0" applyNumberFormat="1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27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/>
    </xf>
    <xf numFmtId="169" fontId="7" fillId="0" borderId="3" xfId="0" applyNumberFormat="1" applyFont="1" applyBorder="1" applyAlignment="1">
      <alignment horizontal="center"/>
    </xf>
    <xf numFmtId="169" fontId="7" fillId="0" borderId="24" xfId="0" applyNumberFormat="1" applyFont="1" applyBorder="1" applyAlignment="1">
      <alignment horizontal="center"/>
    </xf>
    <xf numFmtId="0" fontId="10" fillId="2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 vertical="center" wrapText="1"/>
    </xf>
    <xf numFmtId="0" fontId="10" fillId="2" borderId="9" xfId="0" applyFont="1" applyFill="1" applyBorder="1" applyAlignment="1">
      <alignment horizontal="center" vertical="center" wrapText="1"/>
    </xf>
    <xf numFmtId="49" fontId="13" fillId="5" borderId="30" xfId="0" applyNumberFormat="1" applyFont="1" applyFill="1" applyBorder="1" applyAlignment="1" applyProtection="1">
      <alignment horizontal="center"/>
      <protection locked="0"/>
    </xf>
    <xf numFmtId="49" fontId="13" fillId="5" borderId="33" xfId="0" applyNumberFormat="1" applyFont="1" applyFill="1" applyBorder="1" applyAlignment="1" applyProtection="1">
      <alignment horizontal="center"/>
      <protection locked="0"/>
    </xf>
    <xf numFmtId="0" fontId="10" fillId="2" borderId="36" xfId="0" applyFont="1" applyFill="1" applyBorder="1" applyAlignment="1">
      <alignment horizontal="center" vertical="center" wrapText="1"/>
    </xf>
    <xf numFmtId="0" fontId="37" fillId="13" borderId="43" xfId="2" applyFont="1" applyFill="1" applyBorder="1" applyAlignment="1">
      <alignment horizontal="center" vertical="center"/>
    </xf>
    <xf numFmtId="0" fontId="37" fillId="13" borderId="18" xfId="2" applyFont="1" applyFill="1" applyBorder="1" applyAlignment="1">
      <alignment horizontal="center" vertical="center"/>
    </xf>
    <xf numFmtId="0" fontId="37" fillId="13" borderId="47" xfId="2" applyFont="1" applyFill="1" applyBorder="1" applyAlignment="1">
      <alignment horizontal="center" vertical="center"/>
    </xf>
    <xf numFmtId="0" fontId="37" fillId="13" borderId="42" xfId="2" applyFont="1" applyFill="1" applyBorder="1" applyAlignment="1">
      <alignment horizontal="center" vertical="center"/>
    </xf>
    <xf numFmtId="0" fontId="37" fillId="13" borderId="0" xfId="2" applyFont="1" applyFill="1" applyAlignment="1">
      <alignment horizontal="center" vertical="center"/>
    </xf>
    <xf numFmtId="0" fontId="37" fillId="13" borderId="45" xfId="2" applyFont="1" applyFill="1" applyBorder="1" applyAlignment="1">
      <alignment horizontal="center" vertical="center"/>
    </xf>
    <xf numFmtId="0" fontId="37" fillId="13" borderId="48" xfId="2" applyFont="1" applyFill="1" applyBorder="1" applyAlignment="1">
      <alignment horizontal="center" vertical="center"/>
    </xf>
    <xf numFmtId="0" fontId="37" fillId="13" borderId="49" xfId="2" applyFont="1" applyFill="1" applyBorder="1" applyAlignment="1">
      <alignment horizontal="center" vertical="center"/>
    </xf>
    <xf numFmtId="0" fontId="37" fillId="13" borderId="50" xfId="2" applyFont="1" applyFill="1" applyBorder="1" applyAlignment="1">
      <alignment horizontal="center" vertical="center"/>
    </xf>
    <xf numFmtId="0" fontId="29" fillId="0" borderId="40" xfId="2" applyFont="1" applyBorder="1" applyAlignment="1" applyProtection="1">
      <alignment horizontal="center" vertical="center"/>
      <protection locked="0"/>
    </xf>
    <xf numFmtId="0" fontId="29" fillId="0" borderId="5" xfId="2" applyFont="1" applyBorder="1" applyAlignment="1" applyProtection="1">
      <alignment horizontal="center" vertical="center"/>
      <protection locked="0"/>
    </xf>
    <xf numFmtId="0" fontId="33" fillId="15" borderId="40" xfId="2" applyFont="1" applyFill="1" applyBorder="1" applyAlignment="1" applyProtection="1">
      <alignment horizontal="center" vertical="center"/>
      <protection locked="0"/>
    </xf>
    <xf numFmtId="0" fontId="33" fillId="15" borderId="4" xfId="2" applyFont="1" applyFill="1" applyBorder="1" applyAlignment="1" applyProtection="1">
      <alignment horizontal="center" vertical="center"/>
      <protection locked="0"/>
    </xf>
    <xf numFmtId="0" fontId="33" fillId="15" borderId="5" xfId="2" applyFont="1" applyFill="1" applyBorder="1" applyAlignment="1" applyProtection="1">
      <alignment horizontal="center" vertical="center"/>
      <protection locked="0"/>
    </xf>
    <xf numFmtId="0" fontId="28" fillId="13" borderId="3" xfId="2" applyFont="1" applyFill="1" applyBorder="1" applyAlignment="1">
      <alignment horizontal="left" vertical="center"/>
    </xf>
    <xf numFmtId="0" fontId="28" fillId="13" borderId="4" xfId="2" applyFont="1" applyFill="1" applyBorder="1" applyAlignment="1">
      <alignment horizontal="left" vertical="center"/>
    </xf>
    <xf numFmtId="0" fontId="28" fillId="13" borderId="5" xfId="2" applyFont="1" applyFill="1" applyBorder="1" applyAlignment="1">
      <alignment horizontal="left" vertical="center"/>
    </xf>
    <xf numFmtId="0" fontId="32" fillId="13" borderId="42" xfId="2" applyFont="1" applyFill="1" applyBorder="1" applyAlignment="1" applyProtection="1">
      <alignment horizontal="center" vertical="center"/>
      <protection locked="0"/>
    </xf>
    <xf numFmtId="0" fontId="32" fillId="13" borderId="0" xfId="2" applyFont="1" applyFill="1" applyAlignment="1" applyProtection="1">
      <alignment horizontal="center" vertical="center"/>
      <protection locked="0"/>
    </xf>
    <xf numFmtId="171" fontId="32" fillId="13" borderId="0" xfId="2" applyNumberFormat="1" applyFont="1" applyFill="1" applyAlignment="1">
      <alignment horizontal="center" vertical="center"/>
    </xf>
    <xf numFmtId="171" fontId="32" fillId="13" borderId="45" xfId="2" applyNumberFormat="1" applyFont="1" applyFill="1" applyBorder="1" applyAlignment="1">
      <alignment horizontal="center" vertical="center"/>
    </xf>
    <xf numFmtId="0" fontId="22" fillId="13" borderId="37" xfId="2" applyFont="1" applyFill="1" applyBorder="1" applyAlignment="1">
      <alignment horizontal="center" vertical="center"/>
    </xf>
    <xf numFmtId="0" fontId="22" fillId="13" borderId="38" xfId="2" applyFont="1" applyFill="1" applyBorder="1" applyAlignment="1">
      <alignment horizontal="center" vertical="center"/>
    </xf>
    <xf numFmtId="0" fontId="22" fillId="13" borderId="39" xfId="2" applyFont="1" applyFill="1" applyBorder="1" applyAlignment="1">
      <alignment horizontal="center" vertical="center"/>
    </xf>
    <xf numFmtId="0" fontId="23" fillId="13" borderId="40" xfId="2" applyFont="1" applyFill="1" applyBorder="1" applyAlignment="1">
      <alignment horizontal="center" vertical="center"/>
    </xf>
    <xf numFmtId="0" fontId="23" fillId="13" borderId="4" xfId="2" applyFont="1" applyFill="1" applyBorder="1" applyAlignment="1">
      <alignment horizontal="center" vertical="center"/>
    </xf>
    <xf numFmtId="0" fontId="24" fillId="13" borderId="4" xfId="2" applyFont="1" applyFill="1" applyBorder="1" applyAlignment="1">
      <alignment horizontal="center" vertical="center"/>
    </xf>
    <xf numFmtId="0" fontId="25" fillId="13" borderId="4" xfId="2" applyFont="1" applyFill="1" applyBorder="1" applyAlignment="1">
      <alignment horizontal="center" vertical="center"/>
    </xf>
    <xf numFmtId="0" fontId="25" fillId="13" borderId="41" xfId="2" applyFont="1" applyFill="1" applyBorder="1" applyAlignment="1">
      <alignment horizontal="center" vertical="center"/>
    </xf>
    <xf numFmtId="0" fontId="1" fillId="14" borderId="42" xfId="2" applyFill="1" applyBorder="1" applyAlignment="1">
      <alignment horizontal="center" vertical="center"/>
    </xf>
    <xf numFmtId="0" fontId="1" fillId="14" borderId="29" xfId="2" applyFill="1" applyBorder="1" applyAlignment="1">
      <alignment horizontal="center" vertical="center"/>
    </xf>
    <xf numFmtId="0" fontId="24" fillId="13" borderId="43" xfId="2" applyFont="1" applyFill="1" applyBorder="1" applyAlignment="1">
      <alignment horizontal="center" vertical="center"/>
    </xf>
    <xf numFmtId="0" fontId="24" fillId="13" borderId="44" xfId="2" applyFont="1" applyFill="1" applyBorder="1" applyAlignment="1">
      <alignment horizontal="center" vertical="center"/>
    </xf>
    <xf numFmtId="167" fontId="26" fillId="13" borderId="18" xfId="2" applyNumberFormat="1" applyFont="1" applyFill="1" applyBorder="1" applyAlignment="1">
      <alignment horizontal="center" vertical="center"/>
    </xf>
    <xf numFmtId="167" fontId="26" fillId="13" borderId="27" xfId="2" applyNumberFormat="1" applyFont="1" applyFill="1" applyBorder="1" applyAlignment="1">
      <alignment horizontal="center" vertical="center"/>
    </xf>
    <xf numFmtId="167" fontId="26" fillId="13" borderId="20" xfId="2" applyNumberFormat="1" applyFont="1" applyFill="1" applyBorder="1" applyAlignment="1">
      <alignment horizontal="center" vertical="center"/>
    </xf>
    <xf numFmtId="167" fontId="26" fillId="13" borderId="28" xfId="2" applyNumberFormat="1" applyFont="1" applyFill="1" applyBorder="1" applyAlignment="1">
      <alignment horizontal="center" vertical="center"/>
    </xf>
    <xf numFmtId="49" fontId="7" fillId="5" borderId="51" xfId="0" applyNumberFormat="1" applyFont="1" applyFill="1" applyBorder="1" applyAlignment="1" applyProtection="1">
      <alignment horizontal="center"/>
      <protection locked="0"/>
    </xf>
    <xf numFmtId="49" fontId="7" fillId="5" borderId="24" xfId="0" applyNumberFormat="1" applyFont="1" applyFill="1" applyBorder="1" applyAlignment="1" applyProtection="1">
      <alignment horizontal="center"/>
      <protection locked="0"/>
    </xf>
    <xf numFmtId="0" fontId="24" fillId="13" borderId="41" xfId="2" applyFont="1" applyFill="1" applyBorder="1" applyAlignment="1">
      <alignment horizontal="center" vertical="center"/>
    </xf>
    <xf numFmtId="164" fontId="27" fillId="13" borderId="40" xfId="3" applyFont="1" applyFill="1" applyBorder="1" applyAlignment="1">
      <alignment horizontal="center" vertical="center"/>
    </xf>
    <xf numFmtId="164" fontId="27" fillId="13" borderId="5" xfId="3" applyFont="1" applyFill="1" applyBorder="1" applyAlignment="1">
      <alignment horizontal="center" vertical="center"/>
    </xf>
    <xf numFmtId="168" fontId="17" fillId="13" borderId="5" xfId="2" applyNumberFormat="1" applyFont="1" applyFill="1" applyBorder="1" applyAlignment="1">
      <alignment horizontal="center" vertical="center"/>
    </xf>
    <xf numFmtId="168" fontId="17" fillId="13" borderId="2" xfId="2" applyNumberFormat="1" applyFont="1" applyFill="1" applyBorder="1" applyAlignment="1">
      <alignment horizontal="center" vertical="center"/>
    </xf>
    <xf numFmtId="0" fontId="28" fillId="13" borderId="40" xfId="2" applyFont="1" applyFill="1" applyBorder="1" applyAlignment="1">
      <alignment horizontal="center" vertical="center"/>
    </xf>
    <xf numFmtId="0" fontId="28" fillId="13" borderId="5" xfId="2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/>
    </xf>
    <xf numFmtId="0" fontId="10" fillId="2" borderId="12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52" xfId="0" applyFont="1" applyBorder="1"/>
    <xf numFmtId="0" fontId="10" fillId="2" borderId="53" xfId="0" applyFont="1" applyFill="1" applyBorder="1" applyAlignment="1">
      <alignment horizontal="center" vertical="center"/>
    </xf>
    <xf numFmtId="0" fontId="39" fillId="0" borderId="2" xfId="0" applyFont="1" applyBorder="1" applyAlignment="1">
      <alignment horizontal="center"/>
    </xf>
    <xf numFmtId="164" fontId="7" fillId="4" borderId="2" xfId="1" applyFont="1" applyFill="1" applyBorder="1" applyAlignment="1" applyProtection="1">
      <alignment horizontal="center"/>
      <protection locked="0"/>
    </xf>
    <xf numFmtId="0" fontId="4" fillId="0" borderId="54" xfId="0" applyFont="1" applyBorder="1" applyAlignment="1">
      <alignment horizontal="center"/>
    </xf>
    <xf numFmtId="0" fontId="4" fillId="0" borderId="2" xfId="0" applyFont="1" applyFill="1" applyBorder="1"/>
  </cellXfs>
  <cellStyles count="4">
    <cellStyle name="Moeda" xfId="1" builtinId="4"/>
    <cellStyle name="Moeda 2" xfId="3" xr:uid="{00000000-0005-0000-0000-000001000000}"/>
    <cellStyle name="Normal" xfId="0" builtinId="0"/>
    <cellStyle name="Normal 2" xfId="2" xr:uid="{00000000-0005-0000-0000-000003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</dxf>
  </dxfs>
  <tableStyles count="1" defaultTableStyle="TableStyleMedium2" defaultPivotStyle="PivotStyleLight16">
    <tableStyle name="Estilo de Tabela 1" pivot="0" count="0" xr9:uid="{00000000-0011-0000-FFFF-FFFF00000000}"/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424295</xdr:colOff>
      <xdr:row>2</xdr:row>
      <xdr:rowOff>1</xdr:rowOff>
    </xdr:from>
    <xdr:ext cx="1651000" cy="947775"/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36022" y="779319"/>
          <a:ext cx="1651000" cy="947775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238125</xdr:colOff>
      <xdr:row>2</xdr:row>
      <xdr:rowOff>67756</xdr:rowOff>
    </xdr:from>
    <xdr:ext cx="1710917" cy="932369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9100" y="810260"/>
          <a:ext cx="1710690" cy="93281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257175</xdr:colOff>
      <xdr:row>2</xdr:row>
      <xdr:rowOff>105856</xdr:rowOff>
    </xdr:from>
    <xdr:ext cx="1710917" cy="932369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8150" y="848360"/>
          <a:ext cx="1710690" cy="932815"/>
        </a:xfrm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35721</xdr:colOff>
      <xdr:row>24</xdr:row>
      <xdr:rowOff>154781</xdr:rowOff>
    </xdr:from>
    <xdr:to>
      <xdr:col>7</xdr:col>
      <xdr:colOff>609601</xdr:colOff>
      <xdr:row>26</xdr:row>
      <xdr:rowOff>0</xdr:rowOff>
    </xdr:to>
    <xdr:sp macro="" textlink="">
      <xdr:nvSpPr>
        <xdr:cNvPr id="2" name="Retângulo de cantos arredondados 8">
          <a:extLst>
            <a:ext uri="{FF2B5EF4-FFF2-40B4-BE49-F238E27FC236}">
              <a16:creationId xmlns:a16="http://schemas.microsoft.com/office/drawing/2014/main" id="{DF11E500-6BBF-45BF-BE06-9E73AE17F81F}"/>
            </a:ext>
          </a:extLst>
        </xdr:cNvPr>
        <xdr:cNvSpPr/>
      </xdr:nvSpPr>
      <xdr:spPr>
        <a:xfrm>
          <a:off x="5341146" y="7822406"/>
          <a:ext cx="6107905" cy="569119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BR" sz="1200"/>
        </a:p>
      </xdr:txBody>
    </xdr:sp>
    <xdr:clientData/>
  </xdr:twoCellAnchor>
  <xdr:twoCellAnchor editAs="oneCell">
    <xdr:from>
      <xdr:col>0</xdr:col>
      <xdr:colOff>40007</xdr:colOff>
      <xdr:row>2</xdr:row>
      <xdr:rowOff>129540</xdr:rowOff>
    </xdr:from>
    <xdr:to>
      <xdr:col>1</xdr:col>
      <xdr:colOff>1402081</xdr:colOff>
      <xdr:row>4</xdr:row>
      <xdr:rowOff>154364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40A0CB5-7CAB-4503-8E8D-7605BC05D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55" b="13559"/>
        <a:stretch>
          <a:fillRect/>
        </a:stretch>
      </xdr:blipFill>
      <xdr:spPr>
        <a:xfrm>
          <a:off x="40007" y="767715"/>
          <a:ext cx="1962149" cy="71062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  <a:headEnd/>
          <a:tailEnd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2</xdr:col>
      <xdr:colOff>1371600</xdr:colOff>
      <xdr:row>1</xdr:row>
      <xdr:rowOff>1</xdr:rowOff>
    </xdr:from>
    <xdr:to>
      <xdr:col>2</xdr:col>
      <xdr:colOff>1743075</xdr:colOff>
      <xdr:row>2</xdr:row>
      <xdr:rowOff>1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53543213-CC3C-4ECB-8DB0-884120E287FD}"/>
            </a:ext>
          </a:extLst>
        </xdr:cNvPr>
        <xdr:cNvSpPr txBox="1"/>
      </xdr:nvSpPr>
      <xdr:spPr>
        <a:xfrm>
          <a:off x="3590925" y="400051"/>
          <a:ext cx="37147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pt-BR" sz="1600" b="1"/>
        </a:p>
      </xdr:txBody>
    </xdr:sp>
    <xdr:clientData/>
  </xdr:twoCellAnchor>
  <xdr:twoCellAnchor>
    <xdr:from>
      <xdr:col>5</xdr:col>
      <xdr:colOff>1857375</xdr:colOff>
      <xdr:row>1</xdr:row>
      <xdr:rowOff>0</xdr:rowOff>
    </xdr:from>
    <xdr:to>
      <xdr:col>5</xdr:col>
      <xdr:colOff>2228850</xdr:colOff>
      <xdr:row>2</xdr:row>
      <xdr:rowOff>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8487AB68-92C1-4986-97D5-0342142A3C91}"/>
            </a:ext>
          </a:extLst>
        </xdr:cNvPr>
        <xdr:cNvSpPr txBox="1"/>
      </xdr:nvSpPr>
      <xdr:spPr>
        <a:xfrm>
          <a:off x="8229600" y="400050"/>
          <a:ext cx="37147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X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J1:J9" totalsRowShown="0" headerRowDxfId="23" dataDxfId="21" headerRowBorderDxfId="22" tableBorderDxfId="20" totalsRowBorderDxfId="19">
  <tableColumns count="1">
    <tableColumn id="1" xr3:uid="{00000000-0010-0000-0000-000001000000}" name="CONFERENTE" dataDxfId="18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G1:H18" totalsRowShown="0" headerRowDxfId="17" headerRowBorderDxfId="16" tableBorderDxfId="15" totalsRowBorderDxfId="14">
  <tableColumns count="2">
    <tableColumn id="1" xr3:uid="{00000000-0010-0000-0100-000001000000}" name="MOTORISTA" dataDxfId="13"/>
    <tableColumn id="2" xr3:uid="{00000000-0010-0000-0100-000002000000}" name="CONTATO" dataDxfId="12"/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L1:L5" totalsRowShown="0" headerRowDxfId="11" dataDxfId="9" headerRowBorderDxfId="10" tableBorderDxfId="8" totalsRowBorderDxfId="7">
  <tableColumns count="1">
    <tableColumn id="1" xr3:uid="{00000000-0010-0000-0200-000001000000}" name="OPERAÇÃO" dataDxfId="6"/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P1:P5" totalsRowShown="0" headerRowDxfId="5" dataDxfId="3" headerRowBorderDxfId="4" tableBorderDxfId="2" totalsRowBorderDxfId="1">
  <tableColumns count="1">
    <tableColumn id="1" xr3:uid="{00000000-0010-0000-0300-000001000000}" name="VEICULO" dataDxfId="0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B2:L60"/>
  <sheetViews>
    <sheetView showGridLines="0" tabSelected="1" showWhiteSpace="0" zoomScale="70" zoomScaleNormal="70" zoomScaleSheetLayoutView="47" zoomScalePageLayoutView="25" workbookViewId="0">
      <selection activeCell="I3" sqref="I3"/>
    </sheetView>
  </sheetViews>
  <sheetFormatPr defaultColWidth="37.85546875" defaultRowHeight="15"/>
  <cols>
    <col min="1" max="1" width="4.5703125" customWidth="1"/>
    <col min="2" max="2" width="9.140625" customWidth="1"/>
    <col min="3" max="4" width="24.28515625" customWidth="1"/>
    <col min="5" max="5" width="18.42578125" customWidth="1"/>
    <col min="6" max="6" width="23" customWidth="1"/>
    <col min="7" max="7" width="32.140625" bestFit="1" customWidth="1"/>
    <col min="8" max="8" width="59.85546875" bestFit="1" customWidth="1"/>
    <col min="9" max="9" width="58.7109375" customWidth="1"/>
    <col min="10" max="10" width="4.5703125" hidden="1" customWidth="1"/>
    <col min="11" max="12" width="37.85546875" hidden="1" customWidth="1"/>
    <col min="13" max="13" width="37.85546875" customWidth="1"/>
  </cols>
  <sheetData>
    <row r="2" spans="2:12" ht="46.5">
      <c r="B2" s="124" t="s">
        <v>63</v>
      </c>
      <c r="C2" s="125"/>
      <c r="D2" s="125"/>
      <c r="E2" s="125"/>
      <c r="F2" s="125"/>
      <c r="G2" s="125"/>
      <c r="H2" s="29" t="s">
        <v>0</v>
      </c>
      <c r="I2" s="37">
        <v>416</v>
      </c>
      <c r="J2" s="38"/>
    </row>
    <row r="3" spans="2:12" ht="21">
      <c r="B3" s="130"/>
      <c r="C3" s="131"/>
      <c r="D3" s="127" t="s">
        <v>1</v>
      </c>
      <c r="E3" s="128">
        <f ca="1">NOW()</f>
        <v>46146.993012962965</v>
      </c>
      <c r="F3" s="129"/>
      <c r="G3" s="126" t="s">
        <v>2</v>
      </c>
      <c r="H3" s="126"/>
      <c r="I3" s="39"/>
      <c r="J3" s="40"/>
      <c r="K3" s="41" t="s">
        <v>3</v>
      </c>
      <c r="L3" t="s">
        <v>4</v>
      </c>
    </row>
    <row r="4" spans="2:12" ht="21">
      <c r="B4" s="132"/>
      <c r="C4" s="131"/>
      <c r="D4" s="132"/>
      <c r="E4" s="232"/>
      <c r="F4" s="233"/>
      <c r="G4" s="126" t="s">
        <v>5</v>
      </c>
      <c r="H4" s="126"/>
      <c r="I4" s="22"/>
      <c r="J4" s="40"/>
      <c r="K4" s="41" t="s">
        <v>6</v>
      </c>
      <c r="L4" t="s">
        <v>7</v>
      </c>
    </row>
    <row r="5" spans="2:12" ht="21">
      <c r="B5" s="132"/>
      <c r="C5" s="131"/>
      <c r="D5" s="56" t="s">
        <v>175</v>
      </c>
      <c r="E5" s="56">
        <v>0</v>
      </c>
      <c r="F5" s="56" t="s">
        <v>186</v>
      </c>
      <c r="G5" s="230" t="s">
        <v>8</v>
      </c>
      <c r="H5" s="126"/>
      <c r="I5" s="112"/>
      <c r="J5" s="40"/>
      <c r="K5" s="41" t="s">
        <v>9</v>
      </c>
      <c r="L5" t="s">
        <v>10</v>
      </c>
    </row>
    <row r="6" spans="2:12" ht="21">
      <c r="B6" s="31"/>
      <c r="C6" s="32"/>
      <c r="D6" s="235"/>
      <c r="E6" s="236">
        <v>1.5</v>
      </c>
      <c r="F6" s="236">
        <f>D6*E6</f>
        <v>0</v>
      </c>
      <c r="G6" s="231" t="s">
        <v>181</v>
      </c>
      <c r="H6" s="76"/>
      <c r="I6" s="42"/>
      <c r="J6" s="40"/>
      <c r="K6" s="41" t="s">
        <v>11</v>
      </c>
      <c r="L6" t="s">
        <v>12</v>
      </c>
    </row>
    <row r="7" spans="2:12" ht="21">
      <c r="B7" s="121" t="s">
        <v>173</v>
      </c>
      <c r="C7" s="123"/>
      <c r="D7" s="234" t="s">
        <v>13</v>
      </c>
      <c r="E7" s="11" t="s">
        <v>180</v>
      </c>
      <c r="F7" s="11" t="s">
        <v>188</v>
      </c>
      <c r="G7" s="10" t="s">
        <v>174</v>
      </c>
      <c r="H7" s="10" t="s">
        <v>15</v>
      </c>
      <c r="I7" s="10" t="s">
        <v>8</v>
      </c>
      <c r="J7" s="40"/>
      <c r="K7" s="41"/>
    </row>
    <row r="8" spans="2:12" ht="23.25">
      <c r="B8" s="121"/>
      <c r="C8" s="122"/>
      <c r="D8" s="108"/>
      <c r="E8" s="35"/>
      <c r="F8" s="35"/>
      <c r="G8" s="36"/>
      <c r="H8" s="28" t="str">
        <f>IFERROR(VLOOKUP(G8,BD!A:C,3,0),"")</f>
        <v/>
      </c>
      <c r="I8" s="81" t="str">
        <f>IFERROR(VLOOKUP(H8,BD!C:D,2,0),"")</f>
        <v/>
      </c>
      <c r="J8" s="40"/>
      <c r="K8" s="43"/>
    </row>
    <row r="9" spans="2:12" ht="23.25">
      <c r="B9" s="121"/>
      <c r="C9" s="122"/>
      <c r="D9" s="108"/>
      <c r="E9" s="35"/>
      <c r="F9" s="35"/>
      <c r="G9" s="36"/>
      <c r="H9" s="28" t="str">
        <f>IFERROR(VLOOKUP(G9,BD!A:C,3,0),"")</f>
        <v/>
      </c>
      <c r="I9" s="81" t="str">
        <f>IFERROR(VLOOKUP(H9,BD!C:D,2,0),"")</f>
        <v/>
      </c>
      <c r="J9" s="40"/>
      <c r="K9" s="44"/>
    </row>
    <row r="10" spans="2:12" ht="23.25">
      <c r="B10" s="121"/>
      <c r="C10" s="122"/>
      <c r="D10" s="108"/>
      <c r="E10" s="35"/>
      <c r="F10" s="35"/>
      <c r="G10" s="36"/>
      <c r="H10" s="28" t="str">
        <f>IFERROR(VLOOKUP(G10,BD!A:C,3,0),"")</f>
        <v/>
      </c>
      <c r="I10" s="81" t="str">
        <f>IFERROR(VLOOKUP(H10,BD!C:D,2,0),"")</f>
        <v/>
      </c>
      <c r="J10" s="40"/>
      <c r="K10" s="44"/>
    </row>
    <row r="11" spans="2:12" ht="23.25">
      <c r="B11" s="121"/>
      <c r="C11" s="122"/>
      <c r="D11" s="108"/>
      <c r="E11" s="35"/>
      <c r="F11" s="35"/>
      <c r="G11" s="36"/>
      <c r="H11" s="28" t="str">
        <f>IFERROR(VLOOKUP(G11,BD!A:C,3,0),"")</f>
        <v/>
      </c>
      <c r="I11" s="81" t="str">
        <f>IFERROR(VLOOKUP(H11,BD!C:D,2,0),"")</f>
        <v/>
      </c>
      <c r="J11" s="40"/>
      <c r="K11" s="45"/>
    </row>
    <row r="12" spans="2:12" ht="23.25" customHeight="1">
      <c r="B12" s="121"/>
      <c r="C12" s="122"/>
      <c r="D12" s="108"/>
      <c r="E12" s="35"/>
      <c r="F12" s="35"/>
      <c r="G12" s="36"/>
      <c r="H12" s="28" t="str">
        <f>IFERROR(VLOOKUP(G12,BD!A:C,3,0),"")</f>
        <v/>
      </c>
      <c r="I12" s="81" t="str">
        <f>IFERROR(VLOOKUP(H12,BD!C:D,2,0),"")</f>
        <v/>
      </c>
      <c r="J12" s="46"/>
      <c r="K12" s="47"/>
    </row>
    <row r="13" spans="2:12" ht="23.25" customHeight="1">
      <c r="B13" s="121"/>
      <c r="C13" s="122"/>
      <c r="D13" s="108"/>
      <c r="E13" s="35"/>
      <c r="F13" s="35"/>
      <c r="G13" s="36"/>
      <c r="H13" s="28" t="str">
        <f>IFERROR(VLOOKUP(G13,BD!A:C,3,0),"")</f>
        <v/>
      </c>
      <c r="I13" s="81" t="str">
        <f>IFERROR(VLOOKUP(H13,BD!C:D,2,0),"")</f>
        <v/>
      </c>
      <c r="J13" s="46"/>
      <c r="K13" s="47"/>
    </row>
    <row r="14" spans="2:12" ht="23.25" customHeight="1">
      <c r="B14" s="121"/>
      <c r="C14" s="122"/>
      <c r="D14" s="108"/>
      <c r="E14" s="35"/>
      <c r="F14" s="35"/>
      <c r="G14" s="36"/>
      <c r="H14" s="28"/>
      <c r="I14" s="81" t="str">
        <f>IFERROR(VLOOKUP(H14,BD!C:D,2,0),"")</f>
        <v/>
      </c>
      <c r="J14" s="46"/>
      <c r="K14" s="47"/>
    </row>
    <row r="15" spans="2:12" ht="23.25" customHeight="1">
      <c r="B15" s="121"/>
      <c r="C15" s="122"/>
      <c r="D15" s="108"/>
      <c r="E15" s="35"/>
      <c r="F15" s="35"/>
      <c r="G15" s="36"/>
      <c r="H15" s="28"/>
      <c r="I15" s="81" t="str">
        <f>IFERROR(VLOOKUP(H15,BD!C:D,2,0),"")</f>
        <v/>
      </c>
      <c r="J15" s="46"/>
      <c r="K15" s="47"/>
    </row>
    <row r="16" spans="2:12" ht="23.25" customHeight="1">
      <c r="B16" s="121"/>
      <c r="C16" s="122"/>
      <c r="D16" s="108"/>
      <c r="E16" s="35"/>
      <c r="F16" s="35"/>
      <c r="G16" s="36"/>
      <c r="H16" s="28"/>
      <c r="I16" s="81" t="str">
        <f>IFERROR(VLOOKUP(H16,BD!C:D,2,0),"")</f>
        <v/>
      </c>
      <c r="J16" s="46"/>
      <c r="K16" s="47"/>
    </row>
    <row r="17" spans="2:11" ht="23.25" customHeight="1">
      <c r="B17" s="121"/>
      <c r="C17" s="122"/>
      <c r="D17" s="108"/>
      <c r="E17" s="35"/>
      <c r="F17" s="35"/>
      <c r="G17" s="36"/>
      <c r="H17" s="28"/>
      <c r="I17" s="81" t="str">
        <f>IFERROR(VLOOKUP(H17,BD!C:D,2,0),"")</f>
        <v/>
      </c>
      <c r="J17" s="46"/>
      <c r="K17" s="47"/>
    </row>
    <row r="18" spans="2:11" ht="23.25" customHeight="1">
      <c r="B18" s="121"/>
      <c r="C18" s="122"/>
      <c r="D18" s="108"/>
      <c r="E18" s="35"/>
      <c r="F18" s="35"/>
      <c r="G18" s="36"/>
      <c r="H18" s="28" t="str">
        <f>IFERROR(VLOOKUP(G18,BD!A:C,3,0),"")</f>
        <v/>
      </c>
      <c r="I18" s="81" t="str">
        <f>IFERROR(VLOOKUP(H18,BD!C:D,2,0),"")</f>
        <v/>
      </c>
      <c r="J18" s="46"/>
      <c r="K18" s="47"/>
    </row>
    <row r="19" spans="2:11" ht="23.25" customHeight="1">
      <c r="B19" s="121"/>
      <c r="C19" s="122"/>
      <c r="D19" s="108"/>
      <c r="E19" s="35"/>
      <c r="F19" s="35"/>
      <c r="G19" s="36"/>
      <c r="H19" s="28" t="str">
        <f>IFERROR(VLOOKUP(G19,BD!A:C,3,0),"")</f>
        <v/>
      </c>
      <c r="I19" s="81" t="str">
        <f>IFERROR(VLOOKUP(H19,BD!C:D,2,0),"")</f>
        <v/>
      </c>
      <c r="J19" s="46"/>
      <c r="K19" s="47"/>
    </row>
    <row r="20" spans="2:11" ht="23.25" customHeight="1">
      <c r="B20" s="121"/>
      <c r="C20" s="122"/>
      <c r="D20" s="108"/>
      <c r="E20" s="35"/>
      <c r="F20" s="35"/>
      <c r="G20" s="36"/>
      <c r="H20" s="28" t="str">
        <f>IFERROR(VLOOKUP(G20,BD!A:C,3,0),"")</f>
        <v/>
      </c>
      <c r="I20" s="81" t="str">
        <f>IFERROR(VLOOKUP(H20,BD!C:D,2,0),"")</f>
        <v/>
      </c>
      <c r="J20" s="46"/>
      <c r="K20" s="47"/>
    </row>
    <row r="21" spans="2:11" ht="23.25" customHeight="1">
      <c r="B21" s="121"/>
      <c r="C21" s="122"/>
      <c r="D21" s="108"/>
      <c r="E21" s="35"/>
      <c r="F21" s="35"/>
      <c r="G21" s="36"/>
      <c r="H21" s="28" t="str">
        <f>IFERROR(VLOOKUP(G21,BD!A:C,3,0),"")</f>
        <v/>
      </c>
      <c r="I21" s="81" t="str">
        <f>IFERROR(VLOOKUP(H21,BD!C:D,2,0),"")</f>
        <v/>
      </c>
      <c r="J21" s="46"/>
      <c r="K21" s="47"/>
    </row>
    <row r="22" spans="2:11" ht="23.25" customHeight="1">
      <c r="B22" s="121"/>
      <c r="C22" s="122"/>
      <c r="D22" s="108"/>
      <c r="E22" s="35"/>
      <c r="F22" s="35"/>
      <c r="G22" s="36"/>
      <c r="H22" s="28" t="str">
        <f>IFERROR(VLOOKUP(G22,BD!A:C,3,0),"")</f>
        <v/>
      </c>
      <c r="I22" s="81" t="str">
        <f>IFERROR(VLOOKUP(H22,BD!C:D,2,0),"")</f>
        <v/>
      </c>
      <c r="J22" s="46"/>
      <c r="K22" s="47"/>
    </row>
    <row r="23" spans="2:11" ht="23.25" customHeight="1">
      <c r="B23" s="121"/>
      <c r="C23" s="122"/>
      <c r="D23" s="108"/>
      <c r="E23" s="34"/>
      <c r="F23" s="34"/>
      <c r="G23" s="36"/>
      <c r="H23" s="28" t="str">
        <f>IFERROR(VLOOKUP(G23,BD!A:C,3,0),"")</f>
        <v/>
      </c>
      <c r="I23" s="81" t="str">
        <f>IFERROR(VLOOKUP(H23,BD!C:D,2,0),"")</f>
        <v/>
      </c>
      <c r="J23" s="46"/>
      <c r="K23" s="47"/>
    </row>
    <row r="24" spans="2:11" ht="23.25" customHeight="1">
      <c r="B24" s="121"/>
      <c r="C24" s="122"/>
      <c r="D24" s="108"/>
      <c r="E24" s="34"/>
      <c r="F24" s="34"/>
      <c r="G24" s="36"/>
      <c r="H24" s="28" t="str">
        <f>IFERROR(VLOOKUP(G24,BD!A:C,3,0),"")</f>
        <v/>
      </c>
      <c r="I24" s="81" t="str">
        <f>IFERROR(VLOOKUP(H24,BD!C:D,2,0),"")</f>
        <v/>
      </c>
      <c r="J24" s="46"/>
      <c r="K24" s="47"/>
    </row>
    <row r="25" spans="2:11" ht="23.25" customHeight="1">
      <c r="B25" s="121"/>
      <c r="C25" s="122"/>
      <c r="D25" s="108"/>
      <c r="E25" s="34"/>
      <c r="F25" s="34"/>
      <c r="G25" s="36"/>
      <c r="H25" s="28" t="str">
        <f>IFERROR(VLOOKUP(G25,BD!A:C,3,0),"")</f>
        <v/>
      </c>
      <c r="I25" s="81" t="str">
        <f>IFERROR(VLOOKUP(H25,BD!C:D,2,0),"")</f>
        <v/>
      </c>
      <c r="J25" s="46"/>
      <c r="K25" s="47"/>
    </row>
    <row r="26" spans="2:11" ht="23.25" customHeight="1">
      <c r="B26" s="121"/>
      <c r="C26" s="122"/>
      <c r="D26" s="108"/>
      <c r="E26" s="35"/>
      <c r="F26" s="35"/>
      <c r="G26" s="36"/>
      <c r="H26" s="28" t="str">
        <f>IFERROR(VLOOKUP(G26,BD!A:C,3,0),"")</f>
        <v/>
      </c>
      <c r="I26" s="81" t="str">
        <f>IFERROR(VLOOKUP(H26,BD!C:D,2,0),"")</f>
        <v/>
      </c>
      <c r="J26" s="46"/>
      <c r="K26" s="47"/>
    </row>
    <row r="27" spans="2:11" ht="23.25" customHeight="1">
      <c r="B27" s="121"/>
      <c r="C27" s="122"/>
      <c r="D27" s="108"/>
      <c r="E27" s="35"/>
      <c r="F27" s="35"/>
      <c r="G27" s="36"/>
      <c r="H27" s="28" t="str">
        <f>IFERROR(VLOOKUP(G27,BD!A:C,3,0),"")</f>
        <v/>
      </c>
      <c r="I27" s="81" t="str">
        <f>IFERROR(VLOOKUP(H27,BD!C:D,2,0),"")</f>
        <v/>
      </c>
      <c r="J27" s="46"/>
      <c r="K27" s="47"/>
    </row>
    <row r="28" spans="2:11" ht="23.25" customHeight="1">
      <c r="B28" s="121"/>
      <c r="C28" s="122"/>
      <c r="D28" s="108"/>
      <c r="E28" s="35"/>
      <c r="F28" s="35"/>
      <c r="G28" s="36"/>
      <c r="H28" s="28" t="str">
        <f>IFERROR(VLOOKUP(G28,BD!A:C,3,0),"")</f>
        <v/>
      </c>
      <c r="I28" s="81" t="str">
        <f>IFERROR(VLOOKUP(H28,BD!C:D,2,0),"")</f>
        <v/>
      </c>
      <c r="J28" s="46"/>
      <c r="K28" s="47"/>
    </row>
    <row r="29" spans="2:11" ht="23.25" customHeight="1">
      <c r="B29" s="121"/>
      <c r="C29" s="122"/>
      <c r="D29" s="33"/>
      <c r="E29" s="33"/>
      <c r="F29" s="35"/>
      <c r="G29" s="36"/>
      <c r="H29" s="28" t="str">
        <f>IFERROR(VLOOKUP(G29,BD!A:C,3,0),"")</f>
        <v/>
      </c>
      <c r="I29" s="81" t="str">
        <f>IFERROR(VLOOKUP(H29,BD!C:D,2,0),"")</f>
        <v/>
      </c>
      <c r="J29" s="46"/>
      <c r="K29" s="47"/>
    </row>
    <row r="30" spans="2:11" ht="23.25" customHeight="1">
      <c r="B30" s="121"/>
      <c r="C30" s="122"/>
      <c r="D30" s="33"/>
      <c r="E30" s="33"/>
      <c r="F30" s="35"/>
      <c r="G30" s="36"/>
      <c r="H30" s="28" t="str">
        <f>IFERROR(VLOOKUP(G30,BD!A:C,3,0),"")</f>
        <v/>
      </c>
      <c r="I30" s="81" t="str">
        <f>IFERROR(VLOOKUP(H30,BD!C:D,2,0),"")</f>
        <v/>
      </c>
      <c r="J30" s="46"/>
      <c r="K30" s="47"/>
    </row>
    <row r="31" spans="2:11" ht="23.25" customHeight="1">
      <c r="B31" s="121"/>
      <c r="C31" s="122"/>
      <c r="D31" s="33"/>
      <c r="E31" s="33"/>
      <c r="F31" s="35"/>
      <c r="G31" s="36"/>
      <c r="H31" s="28" t="str">
        <f>IFERROR(VLOOKUP(G31,BD!A:C,3,0),"")</f>
        <v/>
      </c>
      <c r="I31" s="81" t="str">
        <f>IFERROR(VLOOKUP(H31,BD!C:D,2,0),"")</f>
        <v/>
      </c>
      <c r="J31" s="46"/>
      <c r="K31" s="47"/>
    </row>
    <row r="32" spans="2:11" ht="23.25" customHeight="1">
      <c r="B32" s="119"/>
      <c r="C32" s="120"/>
      <c r="D32" s="33"/>
      <c r="E32" s="33"/>
      <c r="F32" s="35"/>
      <c r="G32" s="36"/>
      <c r="H32" s="28" t="str">
        <f>IFERROR(VLOOKUP(G32,BD!A:C,3,0),"")</f>
        <v/>
      </c>
      <c r="I32" s="81"/>
      <c r="J32" s="46"/>
      <c r="K32" s="47"/>
    </row>
    <row r="33" spans="2:12" ht="23.25" customHeight="1">
      <c r="B33" s="121"/>
      <c r="C33" s="122"/>
      <c r="D33" s="108"/>
      <c r="E33" s="35"/>
      <c r="F33" s="35"/>
      <c r="G33" s="36"/>
      <c r="H33" s="28" t="str">
        <f>IFERROR(VLOOKUP(G33,BD!A:C,3,0),"")</f>
        <v/>
      </c>
      <c r="I33" s="81"/>
      <c r="J33" s="46"/>
      <c r="K33" s="47"/>
    </row>
    <row r="34" spans="2:12" ht="23.25" customHeight="1">
      <c r="B34" s="121"/>
      <c r="C34" s="122"/>
      <c r="D34" s="108"/>
      <c r="E34" s="35"/>
      <c r="F34" s="35"/>
      <c r="G34" s="36"/>
      <c r="H34" s="28" t="str">
        <f>IFERROR(VLOOKUP(G34,BD!A:C,3,0),"")</f>
        <v/>
      </c>
      <c r="I34" s="81"/>
      <c r="J34" s="46"/>
      <c r="K34" s="47"/>
    </row>
    <row r="35" spans="2:12" ht="23.25" customHeight="1">
      <c r="B35" s="121"/>
      <c r="C35" s="122"/>
      <c r="D35" s="108"/>
      <c r="E35" s="35"/>
      <c r="F35" s="35"/>
      <c r="G35" s="36"/>
      <c r="H35" s="28" t="str">
        <f>IFERROR(VLOOKUP(G35,BD!A:C,3,0),"")</f>
        <v/>
      </c>
      <c r="I35" s="81" t="str">
        <f>IFERROR(VLOOKUP(H35,BD!C:D,2,0),"")</f>
        <v/>
      </c>
      <c r="J35" s="46"/>
      <c r="K35" s="47"/>
    </row>
    <row r="36" spans="2:12" ht="33.75" customHeight="1">
      <c r="B36" s="142"/>
      <c r="C36" s="143"/>
      <c r="D36" s="143"/>
      <c r="E36" s="143"/>
      <c r="F36" s="143"/>
      <c r="G36" s="143"/>
      <c r="H36" s="143"/>
      <c r="I36" s="144"/>
      <c r="J36" s="49"/>
      <c r="K36" s="50" t="s">
        <v>17</v>
      </c>
      <c r="L36" t="s">
        <v>18</v>
      </c>
    </row>
    <row r="37" spans="2:12" ht="24.95" customHeight="1">
      <c r="B37" s="133" t="s">
        <v>258</v>
      </c>
      <c r="C37" s="134"/>
      <c r="D37" s="134"/>
      <c r="E37" s="134"/>
      <c r="F37" s="134"/>
      <c r="G37" s="134"/>
      <c r="H37" s="134"/>
      <c r="I37" s="135"/>
      <c r="J37" s="49"/>
      <c r="K37" s="50"/>
    </row>
    <row r="38" spans="2:12" ht="24.95" customHeight="1">
      <c r="B38" s="136"/>
      <c r="C38" s="137"/>
      <c r="D38" s="137"/>
      <c r="E38" s="137"/>
      <c r="F38" s="137"/>
      <c r="G38" s="137"/>
      <c r="H38" s="137"/>
      <c r="I38" s="138"/>
      <c r="J38" s="49"/>
      <c r="K38" s="50" t="s">
        <v>19</v>
      </c>
      <c r="L38" t="s">
        <v>20</v>
      </c>
    </row>
    <row r="39" spans="2:12" ht="24.95" customHeight="1">
      <c r="B39" s="136"/>
      <c r="C39" s="137"/>
      <c r="D39" s="137"/>
      <c r="E39" s="137"/>
      <c r="F39" s="137"/>
      <c r="G39" s="137"/>
      <c r="H39" s="137"/>
      <c r="I39" s="138"/>
      <c r="J39" s="51"/>
      <c r="K39" s="50" t="s">
        <v>21</v>
      </c>
      <c r="L39" t="s">
        <v>22</v>
      </c>
    </row>
    <row r="40" spans="2:12" ht="24.95" customHeight="1">
      <c r="B40" s="136"/>
      <c r="C40" s="137"/>
      <c r="D40" s="137"/>
      <c r="E40" s="137"/>
      <c r="F40" s="137"/>
      <c r="G40" s="137"/>
      <c r="H40" s="137"/>
      <c r="I40" s="138"/>
      <c r="K40" s="52" t="s">
        <v>23</v>
      </c>
      <c r="L40" t="s">
        <v>24</v>
      </c>
    </row>
    <row r="41" spans="2:12" ht="24.95" customHeight="1">
      <c r="B41" s="136"/>
      <c r="C41" s="137"/>
      <c r="D41" s="137"/>
      <c r="E41" s="137"/>
      <c r="F41" s="137"/>
      <c r="G41" s="137"/>
      <c r="H41" s="137"/>
      <c r="I41" s="138"/>
      <c r="K41" s="52" t="s">
        <v>25</v>
      </c>
      <c r="L41" t="s">
        <v>26</v>
      </c>
    </row>
    <row r="42" spans="2:12" ht="24.95" customHeight="1">
      <c r="B42" s="136"/>
      <c r="C42" s="137"/>
      <c r="D42" s="137"/>
      <c r="E42" s="137"/>
      <c r="F42" s="137"/>
      <c r="G42" s="137"/>
      <c r="H42" s="137"/>
      <c r="I42" s="138"/>
      <c r="K42" s="53" t="s">
        <v>27</v>
      </c>
    </row>
    <row r="43" spans="2:12" ht="24.95" customHeight="1">
      <c r="B43" s="139"/>
      <c r="C43" s="140"/>
      <c r="D43" s="140"/>
      <c r="E43" s="140"/>
      <c r="F43" s="140"/>
      <c r="G43" s="140"/>
      <c r="H43" s="140"/>
      <c r="I43" s="141"/>
      <c r="K43" s="53" t="s">
        <v>28</v>
      </c>
      <c r="L43" t="s">
        <v>29</v>
      </c>
    </row>
    <row r="44" spans="2:12">
      <c r="K44" s="53" t="s">
        <v>33</v>
      </c>
      <c r="L44" t="s">
        <v>34</v>
      </c>
    </row>
    <row r="45" spans="2:12">
      <c r="K45" s="53" t="s">
        <v>35</v>
      </c>
      <c r="L45" t="s">
        <v>30</v>
      </c>
    </row>
    <row r="46" spans="2:12">
      <c r="K46" s="53" t="s">
        <v>36</v>
      </c>
      <c r="L46" t="s">
        <v>37</v>
      </c>
    </row>
    <row r="47" spans="2:12">
      <c r="K47" s="53" t="s">
        <v>38</v>
      </c>
      <c r="L47" t="s">
        <v>39</v>
      </c>
    </row>
    <row r="48" spans="2:12">
      <c r="K48" s="53" t="s">
        <v>40</v>
      </c>
      <c r="L48" t="s">
        <v>41</v>
      </c>
    </row>
    <row r="49" spans="11:12">
      <c r="K49" s="53" t="s">
        <v>42</v>
      </c>
      <c r="L49" t="s">
        <v>43</v>
      </c>
    </row>
    <row r="50" spans="11:12">
      <c r="K50" s="53" t="s">
        <v>44</v>
      </c>
      <c r="L50" t="s">
        <v>45</v>
      </c>
    </row>
    <row r="51" spans="11:12">
      <c r="K51" s="53" t="s">
        <v>46</v>
      </c>
      <c r="L51" t="s">
        <v>47</v>
      </c>
    </row>
    <row r="52" spans="11:12">
      <c r="K52" s="53" t="s">
        <v>48</v>
      </c>
      <c r="L52" t="s">
        <v>49</v>
      </c>
    </row>
    <row r="53" spans="11:12">
      <c r="K53" s="53" t="s">
        <v>50</v>
      </c>
      <c r="L53" t="s">
        <v>47</v>
      </c>
    </row>
    <row r="54" spans="11:12">
      <c r="K54" s="53" t="s">
        <v>51</v>
      </c>
      <c r="L54" t="s">
        <v>52</v>
      </c>
    </row>
    <row r="55" spans="11:12">
      <c r="K55" s="53" t="s">
        <v>53</v>
      </c>
      <c r="L55" t="s">
        <v>54</v>
      </c>
    </row>
    <row r="56" spans="11:12">
      <c r="K56" s="53" t="s">
        <v>55</v>
      </c>
      <c r="L56" t="s">
        <v>56</v>
      </c>
    </row>
    <row r="57" spans="11:12">
      <c r="K57" s="53" t="s">
        <v>57</v>
      </c>
      <c r="L57" t="s">
        <v>58</v>
      </c>
    </row>
    <row r="58" spans="11:12">
      <c r="K58" s="53" t="s">
        <v>59</v>
      </c>
      <c r="L58" t="s">
        <v>60</v>
      </c>
    </row>
    <row r="59" spans="11:12">
      <c r="K59" s="53" t="s">
        <v>61</v>
      </c>
      <c r="L59" t="s">
        <v>56</v>
      </c>
    </row>
    <row r="60" spans="11:12">
      <c r="K60" s="54" t="s">
        <v>62</v>
      </c>
    </row>
  </sheetData>
  <mergeCells count="37">
    <mergeCell ref="B35:C35"/>
    <mergeCell ref="B29:C29"/>
    <mergeCell ref="B30:C30"/>
    <mergeCell ref="B31:C31"/>
    <mergeCell ref="B37:I43"/>
    <mergeCell ref="B36:I36"/>
    <mergeCell ref="B33:C33"/>
    <mergeCell ref="B34:C34"/>
    <mergeCell ref="B7:C7"/>
    <mergeCell ref="B2:G2"/>
    <mergeCell ref="G3:H3"/>
    <mergeCell ref="G4:H4"/>
    <mergeCell ref="G5:H5"/>
    <mergeCell ref="D3:D4"/>
    <mergeCell ref="E3:F4"/>
    <mergeCell ref="B3:C5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8:C28"/>
    <mergeCell ref="B23:C23"/>
    <mergeCell ref="B24:C24"/>
    <mergeCell ref="B25:C25"/>
    <mergeCell ref="B26:C26"/>
    <mergeCell ref="B27:C27"/>
  </mergeCells>
  <dataValidations count="7">
    <dataValidation type="list" allowBlank="1" showInputMessage="1" showErrorMessage="1" sqref="I6" xr:uid="{00000000-0002-0000-0000-000000000000}">
      <formula1>Rotas</formula1>
    </dataValidation>
    <dataValidation type="list" allowBlank="1" showInputMessage="1" showErrorMessage="1" sqref="I3" xr:uid="{00000000-0002-0000-0000-000001000000}">
      <formula1>Conferente</formula1>
    </dataValidation>
    <dataValidation type="list" allowBlank="1" showInputMessage="1" showErrorMessage="1" sqref="I4" xr:uid="{00000000-0002-0000-0000-000002000000}">
      <formula1>Motorista</formula1>
    </dataValidation>
    <dataValidation type="list" allowBlank="1" showInputMessage="1" showErrorMessage="1" sqref="H6" xr:uid="{00000000-0002-0000-0000-000003000000}">
      <formula1>VEICULO</formula1>
    </dataValidation>
    <dataValidation type="list" allowBlank="1" showInputMessage="1" showErrorMessage="1" sqref="C30:C32 B8:B35" xr:uid="{00000000-0002-0000-0000-000004000000}">
      <formula1>Operação</formula1>
    </dataValidation>
    <dataValidation type="list" allowBlank="1" showInputMessage="1" showErrorMessage="1" sqref="G8:G35" xr:uid="{00000000-0002-0000-0000-000005000000}">
      <formula1>Cidades</formula1>
    </dataValidation>
    <dataValidation type="whole" allowBlank="1" showInputMessage="1" showErrorMessage="1" sqref="D8:F35" xr:uid="{00000000-0002-0000-0000-000006000000}">
      <formula1>0</formula1>
      <formula2>9999999999999</formula2>
    </dataValidation>
  </dataValidations>
  <printOptions horizontalCentered="1"/>
  <pageMargins left="0.23622047244094499" right="0.23622047244094499" top="0.74803149606299202" bottom="0.74803149606299202" header="0" footer="0"/>
  <pageSetup paperSize="9" scale="39" orientation="portrait" r:id="rId1"/>
  <rowBreaks count="1" manualBreakCount="1">
    <brk id="40" max="9" man="1"/>
  </rowBreaks>
  <colBreaks count="1" manualBreakCount="1">
    <brk id="9" max="73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B1:J52"/>
  <sheetViews>
    <sheetView showGridLines="0" zoomScale="50" zoomScaleNormal="50" workbookViewId="0">
      <selection activeCell="F17" sqref="F17"/>
    </sheetView>
  </sheetViews>
  <sheetFormatPr defaultColWidth="14.42578125" defaultRowHeight="21"/>
  <cols>
    <col min="1" max="1" width="2.7109375" style="7" customWidth="1"/>
    <col min="2" max="2" width="9.140625" style="7" customWidth="1"/>
    <col min="3" max="3" width="24.28515625" style="7" customWidth="1"/>
    <col min="4" max="4" width="19" style="7" customWidth="1"/>
    <col min="5" max="5" width="16" style="7" customWidth="1"/>
    <col min="6" max="6" width="20.42578125" style="7" customWidth="1"/>
    <col min="7" max="7" width="49.7109375" style="7" customWidth="1"/>
    <col min="8" max="8" width="63" style="7" bestFit="1" customWidth="1"/>
    <col min="9" max="9" width="30.42578125" style="7" customWidth="1"/>
    <col min="10" max="10" width="64" style="7" customWidth="1"/>
    <col min="11" max="16384" width="14.42578125" style="7"/>
  </cols>
  <sheetData>
    <row r="1" spans="2:10" ht="12" customHeight="1"/>
    <row r="2" spans="2:10" ht="46.5">
      <c r="B2" s="173" t="s">
        <v>63</v>
      </c>
      <c r="C2" s="174"/>
      <c r="D2" s="174"/>
      <c r="E2" s="174"/>
      <c r="F2" s="174"/>
      <c r="G2" s="174"/>
      <c r="H2" s="175"/>
      <c r="I2" s="19" t="s">
        <v>0</v>
      </c>
      <c r="J2" s="20">
        <f>IF(MOTORISTA!I2="","",MOTORISTA!I2)</f>
        <v>416</v>
      </c>
    </row>
    <row r="3" spans="2:10">
      <c r="B3" s="156"/>
      <c r="C3" s="131"/>
      <c r="D3" s="179" t="s">
        <v>1</v>
      </c>
      <c r="E3" s="158">
        <f ca="1">NOW()</f>
        <v>46146.993013078703</v>
      </c>
      <c r="F3" s="158"/>
      <c r="G3" s="176" t="s">
        <v>2</v>
      </c>
      <c r="H3" s="176"/>
      <c r="I3" s="177" t="str">
        <f>IF(MOTORISTA!I3="","",MOTORISTA!I3)</f>
        <v/>
      </c>
      <c r="J3" s="178" t="str">
        <f>IF(MOTORISTA!J3="","",MOTORISTA!J3)</f>
        <v/>
      </c>
    </row>
    <row r="4" spans="2:10">
      <c r="B4" s="157"/>
      <c r="C4" s="131"/>
      <c r="D4" s="179"/>
      <c r="E4" s="158"/>
      <c r="F4" s="158"/>
      <c r="G4" s="166" t="s">
        <v>5</v>
      </c>
      <c r="H4" s="166"/>
      <c r="I4" s="177" t="str">
        <f>IF(MOTORISTA!I4="","",MOTORISTA!I4)</f>
        <v/>
      </c>
      <c r="J4" s="178" t="str">
        <f>IF(MOTORISTA!J4="","",MOTORISTA!J4)</f>
        <v/>
      </c>
    </row>
    <row r="5" spans="2:10">
      <c r="B5" s="157"/>
      <c r="C5" s="131"/>
      <c r="D5" s="179"/>
      <c r="E5" s="158"/>
      <c r="F5" s="158"/>
      <c r="G5" s="166" t="s">
        <v>8</v>
      </c>
      <c r="H5" s="166"/>
      <c r="I5" s="167">
        <f>MOTORISTA!I5</f>
        <v>0</v>
      </c>
      <c r="J5" s="168"/>
    </row>
    <row r="6" spans="2:10">
      <c r="B6" s="8"/>
      <c r="C6" s="9"/>
      <c r="D6" s="180"/>
      <c r="E6" s="159"/>
      <c r="F6" s="159"/>
      <c r="G6" s="169" t="s">
        <v>66</v>
      </c>
      <c r="H6" s="169"/>
      <c r="I6" s="170"/>
      <c r="J6" s="170"/>
    </row>
    <row r="7" spans="2:10">
      <c r="B7" s="171" t="s">
        <v>67</v>
      </c>
      <c r="C7" s="172"/>
      <c r="D7" s="30" t="s">
        <v>13</v>
      </c>
      <c r="E7" s="10" t="s">
        <v>14</v>
      </c>
      <c r="F7" s="10" t="s">
        <v>68</v>
      </c>
      <c r="G7" s="11" t="s">
        <v>69</v>
      </c>
      <c r="H7" s="11" t="s">
        <v>15</v>
      </c>
      <c r="I7" s="21" t="s">
        <v>8</v>
      </c>
      <c r="J7" s="21" t="s">
        <v>70</v>
      </c>
    </row>
    <row r="8" spans="2:10" ht="23.25">
      <c r="B8" s="145" t="str">
        <f>IFERROR(IF(MOTORISTA!B8=0,"",MOTORISTA!B8),"")</f>
        <v/>
      </c>
      <c r="C8" s="146"/>
      <c r="D8" s="75" t="str">
        <f>IFERROR(IF(MOTORISTA!$D8=0,"",MOTORISTA!$D8),"")</f>
        <v/>
      </c>
      <c r="E8" s="75">
        <v>25</v>
      </c>
      <c r="F8" s="75" t="str">
        <f>IFERROR(IF(MOTORISTA!$F8=0,"",MOTORISTA!$F8),"")</f>
        <v/>
      </c>
      <c r="G8" s="75" t="str">
        <f>IFERROR(IF(MOTORISTA!$G8=0,"",MOTORISTA!$G8),"")</f>
        <v/>
      </c>
      <c r="H8" s="27" t="str">
        <f>IF(MOTORISTA!H8="","",MOTORISTA!H8)</f>
        <v/>
      </c>
      <c r="I8" s="107" t="str">
        <f>IF(MOTORISTA!I8="","",MOTORISTA!I8)</f>
        <v/>
      </c>
      <c r="J8" s="23"/>
    </row>
    <row r="9" spans="2:10" ht="23.25">
      <c r="B9" s="145" t="str">
        <f>IFERROR(IF(MOTORISTA!B9=0,"",MOTORISTA!B9),"")</f>
        <v/>
      </c>
      <c r="C9" s="146"/>
      <c r="D9" s="75" t="str">
        <f>IFERROR(IF(MOTORISTA!$D9=0,"",MOTORISTA!$D9),"")</f>
        <v/>
      </c>
      <c r="E9" s="75" t="str">
        <f>IFERROR(IF(MOTORISTA!$E9=0,"",MOTORISTA!$E9),"")</f>
        <v/>
      </c>
      <c r="F9" s="75" t="str">
        <f>IFERROR(IF(MOTORISTA!$F9=0,"",MOTORISTA!$F9),"")</f>
        <v/>
      </c>
      <c r="G9" s="75" t="str">
        <f>IFERROR(IF(MOTORISTA!$G9=0,"",MOTORISTA!$G9),"")</f>
        <v/>
      </c>
      <c r="H9" s="27" t="str">
        <f>IF(MOTORISTA!H9="","",MOTORISTA!H9)</f>
        <v/>
      </c>
      <c r="I9" s="107" t="str">
        <f>IF(MOTORISTA!I9="","",MOTORISTA!I9)</f>
        <v/>
      </c>
      <c r="J9" s="23"/>
    </row>
    <row r="10" spans="2:10" ht="23.25">
      <c r="B10" s="145" t="str">
        <f>IFERROR(IF(MOTORISTA!B10=0,"",MOTORISTA!B10),"")</f>
        <v/>
      </c>
      <c r="C10" s="146"/>
      <c r="D10" s="75" t="str">
        <f>IFERROR(IF(MOTORISTA!$D10=0,"",MOTORISTA!$D10),"")</f>
        <v/>
      </c>
      <c r="E10" s="75" t="str">
        <f>IFERROR(IF(MOTORISTA!$E10=0,"",MOTORISTA!$E10),"")</f>
        <v/>
      </c>
      <c r="F10" s="75" t="str">
        <f>IFERROR(IF(MOTORISTA!$F10=0,"",MOTORISTA!$F10),"")</f>
        <v/>
      </c>
      <c r="G10" s="75" t="str">
        <f>IFERROR(IF(MOTORISTA!$G10=0,"",MOTORISTA!$G10),"")</f>
        <v/>
      </c>
      <c r="H10" s="27" t="str">
        <f>IF(MOTORISTA!H10="","",MOTORISTA!H10)</f>
        <v/>
      </c>
      <c r="I10" s="107" t="str">
        <f>IF(MOTORISTA!I10="","",MOTORISTA!I10)</f>
        <v/>
      </c>
      <c r="J10" s="23"/>
    </row>
    <row r="11" spans="2:10" ht="23.25">
      <c r="B11" s="145" t="str">
        <f>IFERROR(IF(MOTORISTA!B11=0,"",MOTORISTA!B11),"")</f>
        <v/>
      </c>
      <c r="C11" s="146"/>
      <c r="D11" s="75" t="str">
        <f>IFERROR(IF(MOTORISTA!$D11=0,"",MOTORISTA!$D11),"")</f>
        <v/>
      </c>
      <c r="E11" s="75" t="str">
        <f>IFERROR(IF(MOTORISTA!$E11=0,"",MOTORISTA!$E11),"")</f>
        <v/>
      </c>
      <c r="F11" s="75" t="str">
        <f>IFERROR(IF(MOTORISTA!$F11=0,"",MOTORISTA!$F11),"")</f>
        <v/>
      </c>
      <c r="G11" s="75" t="str">
        <f>IFERROR(IF(MOTORISTA!$G11=0,"",MOTORISTA!$G11),"")</f>
        <v/>
      </c>
      <c r="H11" s="27" t="str">
        <f>IF(MOTORISTA!H11="","",MOTORISTA!H11)</f>
        <v/>
      </c>
      <c r="I11" s="107" t="str">
        <f>IF(MOTORISTA!I11="","",MOTORISTA!I11)</f>
        <v/>
      </c>
      <c r="J11" s="23"/>
    </row>
    <row r="12" spans="2:10" ht="23.25">
      <c r="B12" s="145" t="str">
        <f>IFERROR(IF(MOTORISTA!B12=0,"",MOTORISTA!B12),"")</f>
        <v/>
      </c>
      <c r="C12" s="146"/>
      <c r="D12" s="75" t="str">
        <f>IFERROR(IF(MOTORISTA!$D12=0,"",MOTORISTA!$D12),"")</f>
        <v/>
      </c>
      <c r="E12" s="75" t="str">
        <f>IFERROR(IF(MOTORISTA!$E12=0,"",MOTORISTA!$E12),"")</f>
        <v/>
      </c>
      <c r="F12" s="75" t="str">
        <f>IFERROR(IF(MOTORISTA!$F12=0,"",MOTORISTA!$F12),"")</f>
        <v/>
      </c>
      <c r="G12" s="75" t="str">
        <f>IFERROR(IF(MOTORISTA!$G12=0,"",MOTORISTA!$G12),"")</f>
        <v/>
      </c>
      <c r="H12" s="27" t="str">
        <f>IF(MOTORISTA!H12="","",MOTORISTA!H12)</f>
        <v/>
      </c>
      <c r="I12" s="107" t="str">
        <f>IF(MOTORISTA!I12="","",MOTORISTA!I12)</f>
        <v/>
      </c>
      <c r="J12" s="23"/>
    </row>
    <row r="13" spans="2:10" ht="23.25">
      <c r="B13" s="145" t="str">
        <f>IFERROR(IF(MOTORISTA!B13=0,"",MOTORISTA!B13),"")</f>
        <v/>
      </c>
      <c r="C13" s="146"/>
      <c r="D13" s="75" t="str">
        <f>IFERROR(IF(MOTORISTA!$D13=0,"",MOTORISTA!$D13),"")</f>
        <v/>
      </c>
      <c r="E13" s="75" t="str">
        <f>IFERROR(IF(MOTORISTA!$E13=0,"",MOTORISTA!$E13),"")</f>
        <v/>
      </c>
      <c r="F13" s="75" t="str">
        <f>IFERROR(IF(MOTORISTA!$F13=0,"",MOTORISTA!$F13),"")</f>
        <v/>
      </c>
      <c r="G13" s="75" t="str">
        <f>IFERROR(IF(MOTORISTA!$G13=0,"",MOTORISTA!$G13),"")</f>
        <v/>
      </c>
      <c r="H13" s="27" t="str">
        <f>IF(MOTORISTA!H13="","",MOTORISTA!H13)</f>
        <v/>
      </c>
      <c r="I13" s="107" t="str">
        <f>IF(MOTORISTA!I13="","",MOTORISTA!I13)</f>
        <v/>
      </c>
      <c r="J13" s="23"/>
    </row>
    <row r="14" spans="2:10" ht="23.25">
      <c r="B14" s="145" t="str">
        <f>IFERROR(IF(MOTORISTA!B14=0,"",MOTORISTA!B14),"")</f>
        <v/>
      </c>
      <c r="C14" s="146"/>
      <c r="D14" s="75" t="str">
        <f>IFERROR(IF(MOTORISTA!$D14=0,"",MOTORISTA!$D14),"")</f>
        <v/>
      </c>
      <c r="E14" s="75" t="str">
        <f>IFERROR(IF(MOTORISTA!$E14=0,"",MOTORISTA!$E14),"")</f>
        <v/>
      </c>
      <c r="F14" s="75" t="str">
        <f>IFERROR(IF(MOTORISTA!$F14=0,"",MOTORISTA!$F14),"")</f>
        <v/>
      </c>
      <c r="G14" s="75" t="str">
        <f>IFERROR(IF(MOTORISTA!$G14=0,"",MOTORISTA!$G14),"")</f>
        <v/>
      </c>
      <c r="H14" s="27" t="str">
        <f>IF(MOTORISTA!H14="","",MOTORISTA!H14)</f>
        <v/>
      </c>
      <c r="I14" s="107" t="str">
        <f>IF(MOTORISTA!I14="","",MOTORISTA!I14)</f>
        <v/>
      </c>
      <c r="J14" s="23"/>
    </row>
    <row r="15" spans="2:10" ht="23.25">
      <c r="B15" s="145" t="str">
        <f>IFERROR(IF(MOTORISTA!B15=0,"",MOTORISTA!B15),"")</f>
        <v/>
      </c>
      <c r="C15" s="146"/>
      <c r="D15" s="75" t="str">
        <f>IFERROR(IF(MOTORISTA!$D15=0,"",MOTORISTA!$D15),"")</f>
        <v/>
      </c>
      <c r="E15" s="75" t="str">
        <f>IFERROR(IF(MOTORISTA!$E15=0,"",MOTORISTA!$E15),"")</f>
        <v/>
      </c>
      <c r="F15" s="75" t="str">
        <f>IFERROR(IF(MOTORISTA!$F15=0,"",MOTORISTA!$F15),"")</f>
        <v/>
      </c>
      <c r="G15" s="75" t="str">
        <f>IFERROR(IF(MOTORISTA!$G15=0,"",MOTORISTA!$G15),"")</f>
        <v/>
      </c>
      <c r="H15" s="27" t="str">
        <f>IF(MOTORISTA!H15="","",MOTORISTA!H15)</f>
        <v/>
      </c>
      <c r="I15" s="107" t="str">
        <f>IF(MOTORISTA!I15="","",MOTORISTA!I15)</f>
        <v/>
      </c>
      <c r="J15" s="23"/>
    </row>
    <row r="16" spans="2:10" ht="23.25">
      <c r="B16" s="145" t="str">
        <f>IFERROR(IF(MOTORISTA!B16=0,"",MOTORISTA!B16),"")</f>
        <v/>
      </c>
      <c r="C16" s="146"/>
      <c r="D16" s="75" t="str">
        <f>IFERROR(IF(MOTORISTA!$D16=0,"",MOTORISTA!$D16),"")</f>
        <v/>
      </c>
      <c r="E16" s="75" t="str">
        <f>IFERROR(IF(MOTORISTA!$E16=0,"",MOTORISTA!$E16),"")</f>
        <v/>
      </c>
      <c r="F16" s="75" t="str">
        <f>IFERROR(IF(MOTORISTA!$F16=0,"",MOTORISTA!$F16),"")</f>
        <v/>
      </c>
      <c r="G16" s="75" t="str">
        <f>IFERROR(IF(MOTORISTA!$G16=0,"",MOTORISTA!$G16),"")</f>
        <v/>
      </c>
      <c r="H16" s="27" t="str">
        <f>IF(MOTORISTA!H16="","",MOTORISTA!H16)</f>
        <v/>
      </c>
      <c r="I16" s="107" t="str">
        <f>IF(MOTORISTA!I16="","",MOTORISTA!I16)</f>
        <v/>
      </c>
      <c r="J16" s="23"/>
    </row>
    <row r="17" spans="2:10" ht="23.25">
      <c r="B17" s="145" t="str">
        <f>IFERROR(IF(MOTORISTA!B17=0,"",MOTORISTA!B17),"")</f>
        <v/>
      </c>
      <c r="C17" s="146"/>
      <c r="D17" s="75" t="str">
        <f>IFERROR(IF(MOTORISTA!$D17=0,"",MOTORISTA!$D17),"")</f>
        <v/>
      </c>
      <c r="E17" s="75" t="str">
        <f>IFERROR(IF(MOTORISTA!$E17=0,"",MOTORISTA!$E17),"")</f>
        <v/>
      </c>
      <c r="F17" s="75" t="str">
        <f>IFERROR(IF(MOTORISTA!$F17=0,"",MOTORISTA!$F17),"")</f>
        <v/>
      </c>
      <c r="G17" s="75" t="str">
        <f>IFERROR(IF(MOTORISTA!$G17=0,"",MOTORISTA!$G17),"")</f>
        <v/>
      </c>
      <c r="H17" s="27" t="str">
        <f>IF(MOTORISTA!H17="","",MOTORISTA!H17)</f>
        <v/>
      </c>
      <c r="I17" s="107" t="str">
        <f>IF(MOTORISTA!I17="","",MOTORISTA!I17)</f>
        <v/>
      </c>
      <c r="J17" s="23"/>
    </row>
    <row r="18" spans="2:10" ht="23.25">
      <c r="B18" s="145" t="str">
        <f>IFERROR(IF(MOTORISTA!B18=0,"",MOTORISTA!B18),"")</f>
        <v/>
      </c>
      <c r="C18" s="146"/>
      <c r="D18" s="75" t="str">
        <f>IFERROR(IF(MOTORISTA!$D18=0,"",MOTORISTA!$D18),"")</f>
        <v/>
      </c>
      <c r="E18" s="75" t="str">
        <f>IFERROR(IF(MOTORISTA!$E18=0,"",MOTORISTA!$E18),"")</f>
        <v/>
      </c>
      <c r="F18" s="75" t="str">
        <f>IFERROR(IF(MOTORISTA!$F18=0,"",MOTORISTA!$F18),"")</f>
        <v/>
      </c>
      <c r="G18" s="75" t="str">
        <f>IFERROR(IF(MOTORISTA!$G18=0,"",MOTORISTA!$G18),"")</f>
        <v/>
      </c>
      <c r="H18" s="27" t="str">
        <f>IF(MOTORISTA!H18="","",MOTORISTA!H18)</f>
        <v/>
      </c>
      <c r="I18" s="107" t="str">
        <f>IF(MOTORISTA!I18="","",MOTORISTA!I18)</f>
        <v/>
      </c>
      <c r="J18" s="23"/>
    </row>
    <row r="19" spans="2:10" ht="23.25">
      <c r="B19" s="145" t="str">
        <f>IFERROR(IF(MOTORISTA!B19=0,"",MOTORISTA!B19),"")</f>
        <v/>
      </c>
      <c r="C19" s="146"/>
      <c r="D19" s="75" t="str">
        <f>IFERROR(IF(MOTORISTA!$D19=0,"",MOTORISTA!$D19),"")</f>
        <v/>
      </c>
      <c r="E19" s="75" t="str">
        <f>IFERROR(IF(MOTORISTA!$E19=0,"",MOTORISTA!$E19),"")</f>
        <v/>
      </c>
      <c r="F19" s="75" t="str">
        <f>IFERROR(IF(MOTORISTA!$F19=0,"",MOTORISTA!$F19),"")</f>
        <v/>
      </c>
      <c r="G19" s="75" t="str">
        <f>IFERROR(IF(MOTORISTA!$G19=0,"",MOTORISTA!$G19),"")</f>
        <v/>
      </c>
      <c r="H19" s="27" t="str">
        <f>IF(MOTORISTA!H19="","",MOTORISTA!H19)</f>
        <v/>
      </c>
      <c r="I19" s="107" t="str">
        <f>IF(MOTORISTA!I19="","",MOTORISTA!I19)</f>
        <v/>
      </c>
      <c r="J19" s="23"/>
    </row>
    <row r="20" spans="2:10" ht="23.25">
      <c r="B20" s="145" t="str">
        <f>IFERROR(IF(MOTORISTA!B20=0,"",MOTORISTA!B20),"")</f>
        <v/>
      </c>
      <c r="C20" s="146"/>
      <c r="D20" s="75" t="str">
        <f>IFERROR(IF(MOTORISTA!$D20=0,"",MOTORISTA!$D20),"")</f>
        <v/>
      </c>
      <c r="E20" s="75" t="str">
        <f>IFERROR(IF(MOTORISTA!$E20=0,"",MOTORISTA!$E20),"")</f>
        <v/>
      </c>
      <c r="F20" s="75" t="str">
        <f>IFERROR(IF(MOTORISTA!$F20=0,"",MOTORISTA!$F20),"")</f>
        <v/>
      </c>
      <c r="G20" s="75" t="str">
        <f>IFERROR(IF(MOTORISTA!$G20=0,"",MOTORISTA!$G20),"")</f>
        <v/>
      </c>
      <c r="H20" s="27" t="str">
        <f>IF(MOTORISTA!H20="","",MOTORISTA!H20)</f>
        <v/>
      </c>
      <c r="I20" s="107" t="str">
        <f>IF(MOTORISTA!I20="","",MOTORISTA!I20)</f>
        <v/>
      </c>
      <c r="J20" s="23"/>
    </row>
    <row r="21" spans="2:10" ht="23.25">
      <c r="B21" s="145" t="str">
        <f>IFERROR(IF(MOTORISTA!B21=0,"",MOTORISTA!B21),"")</f>
        <v/>
      </c>
      <c r="C21" s="146"/>
      <c r="D21" s="75" t="str">
        <f>IFERROR(IF(MOTORISTA!$D21=0,"",MOTORISTA!$D21),"")</f>
        <v/>
      </c>
      <c r="E21" s="75" t="str">
        <f>IFERROR(IF(MOTORISTA!$E21=0,"",MOTORISTA!$E21),"")</f>
        <v/>
      </c>
      <c r="F21" s="75" t="str">
        <f>IFERROR(IF(MOTORISTA!$F21=0,"",MOTORISTA!$F21),"")</f>
        <v/>
      </c>
      <c r="G21" s="75" t="str">
        <f>IFERROR(IF(MOTORISTA!$G21=0,"",MOTORISTA!$G21),"")</f>
        <v/>
      </c>
      <c r="H21" s="27" t="str">
        <f>IF(MOTORISTA!H21="","",MOTORISTA!H21)</f>
        <v/>
      </c>
      <c r="I21" s="107" t="str">
        <f>IF(MOTORISTA!I21="","",MOTORISTA!I21)</f>
        <v/>
      </c>
      <c r="J21" s="23"/>
    </row>
    <row r="22" spans="2:10" ht="23.25">
      <c r="B22" s="145" t="str">
        <f>IFERROR(IF(MOTORISTA!B22=0,"",MOTORISTA!B22),"")</f>
        <v/>
      </c>
      <c r="C22" s="146"/>
      <c r="D22" s="75" t="str">
        <f>IFERROR(IF(MOTORISTA!$D22=0,"",MOTORISTA!$D22),"")</f>
        <v/>
      </c>
      <c r="E22" s="75" t="str">
        <f>IFERROR(IF(MOTORISTA!$E22=0,"",MOTORISTA!$E22),"")</f>
        <v/>
      </c>
      <c r="F22" s="75" t="str">
        <f>IFERROR(IF(MOTORISTA!$F22=0,"",MOTORISTA!$F22),"")</f>
        <v/>
      </c>
      <c r="G22" s="75" t="str">
        <f>IFERROR(IF(MOTORISTA!$G22=0,"",MOTORISTA!$G22),"")</f>
        <v/>
      </c>
      <c r="H22" s="27" t="str">
        <f>IF(MOTORISTA!H22="","",MOTORISTA!H22)</f>
        <v/>
      </c>
      <c r="I22" s="107" t="str">
        <f>IF(MOTORISTA!I22="","",MOTORISTA!I22)</f>
        <v/>
      </c>
      <c r="J22" s="23"/>
    </row>
    <row r="23" spans="2:10" ht="23.25">
      <c r="B23" s="145" t="str">
        <f>IFERROR(IF(MOTORISTA!B23=0,"",MOTORISTA!B23),"")</f>
        <v/>
      </c>
      <c r="C23" s="146"/>
      <c r="D23" s="75" t="str">
        <f>IFERROR(IF(MOTORISTA!$D23=0,"",MOTORISTA!$D23),"")</f>
        <v/>
      </c>
      <c r="E23" s="75" t="str">
        <f>IFERROR(IF(MOTORISTA!$E23=0,"",MOTORISTA!$E23),"")</f>
        <v/>
      </c>
      <c r="F23" s="75" t="str">
        <f>IFERROR(IF(MOTORISTA!$F23=0,"",MOTORISTA!$F23),"")</f>
        <v/>
      </c>
      <c r="G23" s="75" t="str">
        <f>IFERROR(IF(MOTORISTA!$G23=0,"",MOTORISTA!$G23),"")</f>
        <v/>
      </c>
      <c r="H23" s="27" t="str">
        <f>IF(MOTORISTA!H23="","",MOTORISTA!H23)</f>
        <v/>
      </c>
      <c r="I23" s="107" t="str">
        <f>IF(MOTORISTA!I23="","",MOTORISTA!I23)</f>
        <v/>
      </c>
      <c r="J23" s="23"/>
    </row>
    <row r="24" spans="2:10" ht="23.25">
      <c r="B24" s="145" t="str">
        <f>IFERROR(IF(MOTORISTA!B24=0,"",MOTORISTA!B24),"")</f>
        <v/>
      </c>
      <c r="C24" s="146"/>
      <c r="D24" s="75" t="str">
        <f>IFERROR(IF(MOTORISTA!$D24=0,"",MOTORISTA!$D24),"")</f>
        <v/>
      </c>
      <c r="E24" s="75" t="str">
        <f>IFERROR(IF(MOTORISTA!$E24=0,"",MOTORISTA!$E24),"")</f>
        <v/>
      </c>
      <c r="F24" s="75" t="str">
        <f>IFERROR(IF(MOTORISTA!$F24=0,"",MOTORISTA!$F24),"")</f>
        <v/>
      </c>
      <c r="G24" s="75" t="str">
        <f>IFERROR(IF(MOTORISTA!$G24=0,"",MOTORISTA!$G24),"")</f>
        <v/>
      </c>
      <c r="H24" s="27" t="str">
        <f>IF(MOTORISTA!H24="","",MOTORISTA!H24)</f>
        <v/>
      </c>
      <c r="I24" s="107" t="str">
        <f>IF(MOTORISTA!I24="","",MOTORISTA!I24)</f>
        <v/>
      </c>
      <c r="J24" s="23"/>
    </row>
    <row r="25" spans="2:10" ht="23.25">
      <c r="B25" s="145" t="str">
        <f>IFERROR(IF(MOTORISTA!B25=0,"",MOTORISTA!B25),"")</f>
        <v/>
      </c>
      <c r="C25" s="146"/>
      <c r="D25" s="75" t="str">
        <f>IFERROR(IF(MOTORISTA!$D25=0,"",MOTORISTA!$D25),"")</f>
        <v/>
      </c>
      <c r="E25" s="75" t="str">
        <f>IFERROR(IF(MOTORISTA!$E25=0,"",MOTORISTA!$E25),"")</f>
        <v/>
      </c>
      <c r="F25" s="75" t="str">
        <f>IFERROR(IF(MOTORISTA!$F25=0,"",MOTORISTA!$F25),"")</f>
        <v/>
      </c>
      <c r="G25" s="75" t="str">
        <f>IFERROR(IF(MOTORISTA!$G25=0,"",MOTORISTA!$G25),"")</f>
        <v/>
      </c>
      <c r="H25" s="27" t="str">
        <f>IF(MOTORISTA!H25="","",MOTORISTA!H25)</f>
        <v/>
      </c>
      <c r="I25" s="107" t="str">
        <f>IF(MOTORISTA!I25="","",MOTORISTA!I25)</f>
        <v/>
      </c>
      <c r="J25" s="23"/>
    </row>
    <row r="26" spans="2:10" ht="23.25">
      <c r="B26" s="145" t="str">
        <f>IFERROR(IF(MOTORISTA!B26=0,"",MOTORISTA!B26),"")</f>
        <v/>
      </c>
      <c r="C26" s="146"/>
      <c r="D26" s="75" t="str">
        <f>IFERROR(IF(MOTORISTA!$D26=0,"",MOTORISTA!$D26),"")</f>
        <v/>
      </c>
      <c r="E26" s="75" t="str">
        <f>IFERROR(IF(MOTORISTA!$E26=0,"",MOTORISTA!$E26),"")</f>
        <v/>
      </c>
      <c r="F26" s="75" t="str">
        <f>IFERROR(IF(MOTORISTA!$F26=0,"",MOTORISTA!$F26),"")</f>
        <v/>
      </c>
      <c r="G26" s="75" t="str">
        <f>IFERROR(IF(MOTORISTA!$G26=0,"",MOTORISTA!$G26),"")</f>
        <v/>
      </c>
      <c r="H26" s="27" t="str">
        <f>IF(MOTORISTA!H26="","",MOTORISTA!H26)</f>
        <v/>
      </c>
      <c r="I26" s="107" t="str">
        <f>IF(MOTORISTA!I26="","",MOTORISTA!I26)</f>
        <v/>
      </c>
      <c r="J26" s="23"/>
    </row>
    <row r="27" spans="2:10" ht="23.25">
      <c r="B27" s="145" t="str">
        <f>IFERROR(IF(MOTORISTA!B27=0,"",MOTORISTA!B27),"")</f>
        <v/>
      </c>
      <c r="C27" s="146"/>
      <c r="D27" s="75" t="str">
        <f>IFERROR(IF(MOTORISTA!$D27=0,"",MOTORISTA!$D27),"")</f>
        <v/>
      </c>
      <c r="E27" s="75" t="str">
        <f>IFERROR(IF(MOTORISTA!$E27=0,"",MOTORISTA!$E27),"")</f>
        <v/>
      </c>
      <c r="F27" s="75" t="str">
        <f>IFERROR(IF(MOTORISTA!$F27=0,"",MOTORISTA!$F27),"")</f>
        <v/>
      </c>
      <c r="G27" s="75" t="str">
        <f>IFERROR(IF(MOTORISTA!$G27=0,"",MOTORISTA!$G27),"")</f>
        <v/>
      </c>
      <c r="H27" s="27" t="str">
        <f>IF(MOTORISTA!H27="","",MOTORISTA!H27)</f>
        <v/>
      </c>
      <c r="I27" s="107" t="str">
        <f>IF(MOTORISTA!I27="","",MOTORISTA!I27)</f>
        <v/>
      </c>
      <c r="J27" s="23"/>
    </row>
    <row r="28" spans="2:10" ht="23.25">
      <c r="B28" s="145" t="str">
        <f>IFERROR(IF(MOTORISTA!B28=0,"",MOTORISTA!B28),"")</f>
        <v/>
      </c>
      <c r="C28" s="146"/>
      <c r="D28" s="75" t="str">
        <f>IFERROR(IF(MOTORISTA!$D28=0,"",MOTORISTA!$D28),"")</f>
        <v/>
      </c>
      <c r="E28" s="75" t="str">
        <f>IFERROR(IF(MOTORISTA!$E28=0,"",MOTORISTA!$E28),"")</f>
        <v/>
      </c>
      <c r="F28" s="75" t="str">
        <f>IFERROR(IF(MOTORISTA!$F28=0,"",MOTORISTA!$F28),"")</f>
        <v/>
      </c>
      <c r="G28" s="75" t="str">
        <f>IFERROR(IF(MOTORISTA!$G28=0,"",MOTORISTA!$G28),"")</f>
        <v/>
      </c>
      <c r="H28" s="27" t="str">
        <f>IF(MOTORISTA!H28="","",MOTORISTA!H28)</f>
        <v/>
      </c>
      <c r="I28" s="107" t="str">
        <f>IF(MOTORISTA!I28="","",MOTORISTA!I28)</f>
        <v/>
      </c>
      <c r="J28" s="23"/>
    </row>
    <row r="29" spans="2:10" ht="23.25">
      <c r="B29" s="145" t="str">
        <f>IFERROR(IF(MOTORISTA!B29=0,"",MOTORISTA!B29),"")</f>
        <v/>
      </c>
      <c r="C29" s="146"/>
      <c r="D29" s="75" t="str">
        <f>IFERROR(IF(MOTORISTA!$D29=0,"",MOTORISTA!$D29),"")</f>
        <v/>
      </c>
      <c r="E29" s="75" t="str">
        <f>IFERROR(IF(MOTORISTA!$E29=0,"",MOTORISTA!$E29),"")</f>
        <v/>
      </c>
      <c r="F29" s="75" t="str">
        <f>IFERROR(IF(MOTORISTA!$F29=0,"",MOTORISTA!$F29),"")</f>
        <v/>
      </c>
      <c r="G29" s="75" t="str">
        <f>IFERROR(IF(MOTORISTA!$G29=0,"",MOTORISTA!$G29),"")</f>
        <v/>
      </c>
      <c r="H29" s="27" t="str">
        <f>IF(MOTORISTA!H29="","",MOTORISTA!H29)</f>
        <v/>
      </c>
      <c r="I29" s="107" t="str">
        <f>IF(MOTORISTA!I29="","",MOTORISTA!I29)</f>
        <v/>
      </c>
      <c r="J29" s="23"/>
    </row>
    <row r="30" spans="2:10" ht="23.25">
      <c r="B30" s="145" t="str">
        <f>IFERROR(IF(MOTORISTA!B30=0,"",MOTORISTA!B30),"")</f>
        <v/>
      </c>
      <c r="C30" s="146"/>
      <c r="D30" s="75" t="str">
        <f>IFERROR(IF(MOTORISTA!$D30=0,"",MOTORISTA!$D30),"")</f>
        <v/>
      </c>
      <c r="E30" s="75" t="str">
        <f>IFERROR(IF(MOTORISTA!$E30=0,"",MOTORISTA!$E30),"")</f>
        <v/>
      </c>
      <c r="F30" s="75" t="str">
        <f>IFERROR(IF(MOTORISTA!$F30=0,"",MOTORISTA!$F30),"")</f>
        <v/>
      </c>
      <c r="G30" s="75" t="str">
        <f>IFERROR(IF(MOTORISTA!$G30=0,"",MOTORISTA!$G30),"")</f>
        <v/>
      </c>
      <c r="H30" s="27" t="str">
        <f>IF(MOTORISTA!H30="","",MOTORISTA!H30)</f>
        <v/>
      </c>
      <c r="I30" s="107" t="str">
        <f>IF(MOTORISTA!I30="","",MOTORISTA!I30)</f>
        <v/>
      </c>
      <c r="J30" s="23"/>
    </row>
    <row r="31" spans="2:10" ht="23.25">
      <c r="B31" s="145" t="str">
        <f>IFERROR(IF(MOTORISTA!B31=0,"",MOTORISTA!B31),"")</f>
        <v/>
      </c>
      <c r="C31" s="146"/>
      <c r="D31" s="75" t="str">
        <f>IFERROR(IF(MOTORISTA!$D31=0,"",MOTORISTA!$D31),"")</f>
        <v/>
      </c>
      <c r="E31" s="75" t="str">
        <f>IFERROR(IF(MOTORISTA!$E31=0,"",MOTORISTA!$E31),"")</f>
        <v/>
      </c>
      <c r="F31" s="75" t="str">
        <f>IFERROR(IF(MOTORISTA!$F31=0,"",MOTORISTA!$F31),"")</f>
        <v/>
      </c>
      <c r="G31" s="75" t="str">
        <f>IFERROR(IF(MOTORISTA!$G31=0,"",MOTORISTA!$G31),"")</f>
        <v/>
      </c>
      <c r="H31" s="27" t="str">
        <f>IF(MOTORISTA!H31="","",MOTORISTA!H31)</f>
        <v/>
      </c>
      <c r="I31" s="107" t="str">
        <f>IF(MOTORISTA!I31="","",MOTORISTA!I31)</f>
        <v/>
      </c>
      <c r="J31" s="23"/>
    </row>
    <row r="32" spans="2:10" ht="23.25">
      <c r="B32" s="145" t="str">
        <f>IFERROR(IF(MOTORISTA!B35=0,"",MOTORISTA!B35),"")</f>
        <v/>
      </c>
      <c r="C32" s="146"/>
      <c r="D32" s="75" t="str">
        <f>IFERROR(IF(MOTORISTA!$D35=0,"",MOTORISTA!$D35),"")</f>
        <v/>
      </c>
      <c r="E32" s="75" t="str">
        <f>IFERROR(IF(MOTORISTA!$E35=0,"",MOTORISTA!$E35),"")</f>
        <v/>
      </c>
      <c r="F32" s="75" t="str">
        <f>IFERROR(IF(MOTORISTA!$F35=0,"",MOTORISTA!$F35),"")</f>
        <v/>
      </c>
      <c r="G32" s="75" t="str">
        <f>IFERROR(IF(MOTORISTA!$G35=0,"",MOTORISTA!$G35),"")</f>
        <v/>
      </c>
      <c r="H32" s="27" t="str">
        <f>IF(MOTORISTA!H35="","",MOTORISTA!H35)</f>
        <v/>
      </c>
      <c r="I32" s="107" t="str">
        <f>IF(MOTORISTA!I35="","",MOTORISTA!I35)</f>
        <v/>
      </c>
      <c r="J32" s="23"/>
    </row>
    <row r="33" spans="2:10" customFormat="1" ht="7.5" customHeight="1"/>
    <row r="34" spans="2:10" customFormat="1" ht="33.75" customHeight="1">
      <c r="B34" s="160" t="s">
        <v>16</v>
      </c>
      <c r="C34" s="161"/>
      <c r="D34" s="161"/>
      <c r="E34" s="161"/>
      <c r="F34" s="161"/>
      <c r="G34" s="161"/>
      <c r="H34" s="161"/>
      <c r="I34" s="161"/>
      <c r="J34" s="162"/>
    </row>
    <row r="35" spans="2:10" customFormat="1" ht="33.75" customHeight="1">
      <c r="B35" s="163"/>
      <c r="C35" s="164"/>
      <c r="D35" s="164"/>
      <c r="E35" s="164"/>
      <c r="F35" s="164"/>
      <c r="G35" s="164"/>
      <c r="H35" s="164"/>
      <c r="I35" s="164"/>
      <c r="J35" s="165"/>
    </row>
    <row r="36" spans="2:10" customFormat="1" ht="26.25" customHeight="1">
      <c r="B36" s="147"/>
      <c r="C36" s="148"/>
      <c r="D36" s="148"/>
      <c r="E36" s="148"/>
      <c r="F36" s="148"/>
      <c r="G36" s="148"/>
      <c r="H36" s="148"/>
      <c r="I36" s="148"/>
      <c r="J36" s="149"/>
    </row>
    <row r="37" spans="2:10" customFormat="1" ht="26.25" customHeight="1">
      <c r="B37" s="150"/>
      <c r="C37" s="151"/>
      <c r="D37" s="151"/>
      <c r="E37" s="151"/>
      <c r="F37" s="151"/>
      <c r="G37" s="151"/>
      <c r="H37" s="151"/>
      <c r="I37" s="151"/>
      <c r="J37" s="152"/>
    </row>
    <row r="38" spans="2:10" customFormat="1" ht="26.25" customHeight="1">
      <c r="B38" s="150"/>
      <c r="C38" s="151"/>
      <c r="D38" s="151"/>
      <c r="E38" s="151"/>
      <c r="F38" s="151"/>
      <c r="G38" s="151"/>
      <c r="H38" s="151"/>
      <c r="I38" s="151"/>
      <c r="J38" s="152"/>
    </row>
    <row r="39" spans="2:10" customFormat="1" ht="26.25" customHeight="1">
      <c r="B39" s="150"/>
      <c r="C39" s="151"/>
      <c r="D39" s="151"/>
      <c r="E39" s="151"/>
      <c r="F39" s="151"/>
      <c r="G39" s="151"/>
      <c r="H39" s="151"/>
      <c r="I39" s="151"/>
      <c r="J39" s="152"/>
    </row>
    <row r="40" spans="2:10" customFormat="1" ht="26.25" customHeight="1">
      <c r="B40" s="150"/>
      <c r="C40" s="151"/>
      <c r="D40" s="151"/>
      <c r="E40" s="151"/>
      <c r="F40" s="151"/>
      <c r="G40" s="151"/>
      <c r="H40" s="151"/>
      <c r="I40" s="151"/>
      <c r="J40" s="152"/>
    </row>
    <row r="41" spans="2:10" customFormat="1" ht="26.25" customHeight="1">
      <c r="B41" s="150"/>
      <c r="C41" s="151"/>
      <c r="D41" s="151"/>
      <c r="E41" s="151"/>
      <c r="F41" s="151"/>
      <c r="G41" s="151"/>
      <c r="H41" s="151"/>
      <c r="I41" s="151"/>
      <c r="J41" s="152"/>
    </row>
    <row r="42" spans="2:10" customFormat="1" ht="26.25" customHeight="1">
      <c r="B42" s="153"/>
      <c r="C42" s="154"/>
      <c r="D42" s="154"/>
      <c r="E42" s="154"/>
      <c r="F42" s="154"/>
      <c r="G42" s="154"/>
      <c r="H42" s="154"/>
      <c r="I42" s="154"/>
      <c r="J42" s="155"/>
    </row>
    <row r="43" spans="2:10" customFormat="1" ht="7.5" customHeight="1"/>
    <row r="44" spans="2:10" customFormat="1" ht="15">
      <c r="B44" s="13"/>
      <c r="C44" s="14"/>
      <c r="D44" s="14"/>
      <c r="E44" s="14"/>
      <c r="F44" s="14"/>
      <c r="G44" s="14"/>
      <c r="H44" s="14"/>
      <c r="I44" s="14"/>
      <c r="J44" s="24"/>
    </row>
    <row r="45" spans="2:10" customFormat="1" ht="15">
      <c r="B45" s="15"/>
      <c r="C45" s="16"/>
      <c r="D45" s="16"/>
      <c r="E45" s="16"/>
      <c r="F45" s="16"/>
      <c r="G45" s="16"/>
      <c r="H45" s="16"/>
      <c r="I45" s="16"/>
      <c r="J45" s="25"/>
    </row>
    <row r="46" spans="2:10" customFormat="1" ht="15">
      <c r="B46" s="15"/>
      <c r="C46" s="16"/>
      <c r="D46" s="16"/>
      <c r="E46" s="16"/>
      <c r="F46" s="16"/>
      <c r="G46" s="16"/>
      <c r="H46" s="16"/>
      <c r="I46" s="16"/>
      <c r="J46" s="25"/>
    </row>
    <row r="47" spans="2:10" customFormat="1" ht="15">
      <c r="B47" s="15"/>
      <c r="C47" s="16"/>
      <c r="D47" s="16"/>
      <c r="E47" s="16"/>
      <c r="F47" s="16"/>
      <c r="G47" s="16"/>
      <c r="H47" s="16"/>
      <c r="I47" s="16"/>
      <c r="J47" s="25"/>
    </row>
    <row r="48" spans="2:10" customFormat="1" ht="15">
      <c r="B48" s="15"/>
      <c r="C48" s="16"/>
      <c r="D48" s="16"/>
      <c r="E48" s="16"/>
      <c r="F48" s="16"/>
      <c r="G48" s="16"/>
      <c r="H48" s="16"/>
      <c r="I48" s="16"/>
      <c r="J48" s="25"/>
    </row>
    <row r="49" spans="2:10" customFormat="1" ht="15">
      <c r="B49" s="15"/>
      <c r="C49" s="16"/>
      <c r="D49" s="16"/>
      <c r="E49" s="16"/>
      <c r="F49" s="16"/>
      <c r="G49" s="16"/>
      <c r="H49" s="16"/>
      <c r="I49" s="16"/>
      <c r="J49" s="25"/>
    </row>
    <row r="50" spans="2:10" customFormat="1" ht="15">
      <c r="B50" s="15"/>
      <c r="C50" s="16" t="s">
        <v>31</v>
      </c>
      <c r="D50" s="16"/>
      <c r="E50" s="16"/>
      <c r="F50" s="16"/>
      <c r="G50" s="16"/>
      <c r="H50" s="16"/>
      <c r="I50" s="16" t="s">
        <v>32</v>
      </c>
      <c r="J50" s="25"/>
    </row>
    <row r="51" spans="2:10" customFormat="1" ht="15">
      <c r="B51" s="17"/>
      <c r="C51" s="18"/>
      <c r="D51" s="18"/>
      <c r="E51" s="18"/>
      <c r="F51" s="18"/>
      <c r="G51" s="18"/>
      <c r="H51" s="18"/>
      <c r="I51" s="18"/>
      <c r="J51" s="26"/>
    </row>
    <row r="52" spans="2:10" customFormat="1" ht="15"/>
  </sheetData>
  <mergeCells count="40">
    <mergeCell ref="B32:C32"/>
    <mergeCell ref="B28:C28"/>
    <mergeCell ref="B29:C29"/>
    <mergeCell ref="B30:C30"/>
    <mergeCell ref="B31:C31"/>
    <mergeCell ref="B25:C25"/>
    <mergeCell ref="B13:C13"/>
    <mergeCell ref="B14:C14"/>
    <mergeCell ref="B15:C15"/>
    <mergeCell ref="B16:C16"/>
    <mergeCell ref="B22:C22"/>
    <mergeCell ref="B23:C23"/>
    <mergeCell ref="B24:C24"/>
    <mergeCell ref="B17:C17"/>
    <mergeCell ref="B18:C18"/>
    <mergeCell ref="B19:C19"/>
    <mergeCell ref="B20:C20"/>
    <mergeCell ref="B21:C21"/>
    <mergeCell ref="B2:H2"/>
    <mergeCell ref="G3:H3"/>
    <mergeCell ref="I3:J3"/>
    <mergeCell ref="G4:H4"/>
    <mergeCell ref="I4:J4"/>
    <mergeCell ref="D3:D6"/>
    <mergeCell ref="B10:C10"/>
    <mergeCell ref="B11:C11"/>
    <mergeCell ref="B36:J42"/>
    <mergeCell ref="B3:C5"/>
    <mergeCell ref="E3:F6"/>
    <mergeCell ref="B34:J35"/>
    <mergeCell ref="B8:C8"/>
    <mergeCell ref="B9:C9"/>
    <mergeCell ref="G5:H5"/>
    <mergeCell ref="I5:J5"/>
    <mergeCell ref="G6:H6"/>
    <mergeCell ref="I6:J6"/>
    <mergeCell ref="B7:C7"/>
    <mergeCell ref="B12:C12"/>
    <mergeCell ref="B26:C26"/>
    <mergeCell ref="B27:C27"/>
  </mergeCells>
  <printOptions horizontalCentered="1"/>
  <pageMargins left="0.23622047244094499" right="0.23622047244094499" top="0.74803149606299202" bottom="0.74803149606299202" header="0" footer="0"/>
  <pageSetup paperSize="9" scale="44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pageSetUpPr fitToPage="1"/>
  </sheetPr>
  <dimension ref="B1:F39"/>
  <sheetViews>
    <sheetView showGridLines="0" topLeftCell="D1" zoomScale="50" zoomScaleNormal="50" workbookViewId="0">
      <selection activeCell="F3" sqref="F3"/>
    </sheetView>
  </sheetViews>
  <sheetFormatPr defaultColWidth="14.42578125" defaultRowHeight="21"/>
  <cols>
    <col min="1" max="1" width="2.7109375" style="7" customWidth="1"/>
    <col min="2" max="2" width="9.140625" style="7" customWidth="1"/>
    <col min="3" max="3" width="24.28515625" style="7" customWidth="1"/>
    <col min="4" max="4" width="112" style="7" customWidth="1"/>
    <col min="5" max="5" width="49.5703125" style="7" customWidth="1"/>
    <col min="6" max="6" width="106" style="7" customWidth="1"/>
    <col min="7" max="16384" width="14.42578125" style="7"/>
  </cols>
  <sheetData>
    <row r="1" spans="2:6" ht="12" customHeight="1"/>
    <row r="2" spans="2:6" ht="46.5">
      <c r="B2" s="173" t="s">
        <v>71</v>
      </c>
      <c r="C2" s="174"/>
      <c r="D2" s="174"/>
      <c r="E2" s="174"/>
      <c r="F2" s="20">
        <f>IF(MOTORISTA!I2="","",MOTORISTA!I2)</f>
        <v>416</v>
      </c>
    </row>
    <row r="3" spans="2:6" ht="21" customHeight="1">
      <c r="B3" s="156"/>
      <c r="C3" s="131"/>
      <c r="D3" s="183" t="s">
        <v>1</v>
      </c>
      <c r="E3" s="58" t="s">
        <v>2</v>
      </c>
      <c r="F3" s="59"/>
    </row>
    <row r="4" spans="2:6">
      <c r="B4" s="157"/>
      <c r="C4" s="131"/>
      <c r="D4" s="179"/>
      <c r="E4" s="55" t="s">
        <v>5</v>
      </c>
      <c r="F4" s="59"/>
    </row>
    <row r="5" spans="2:6">
      <c r="B5" s="157"/>
      <c r="C5" s="131"/>
      <c r="D5" s="179"/>
      <c r="E5" s="55" t="s">
        <v>8</v>
      </c>
      <c r="F5" s="71"/>
    </row>
    <row r="6" spans="2:6">
      <c r="B6" s="8"/>
      <c r="C6" s="9"/>
      <c r="D6" s="70">
        <f ca="1">NOW()</f>
        <v>46146.993013078703</v>
      </c>
      <c r="E6" s="56" t="s">
        <v>66</v>
      </c>
      <c r="F6" s="57"/>
    </row>
    <row r="7" spans="2:6">
      <c r="B7" s="171" t="s">
        <v>67</v>
      </c>
      <c r="C7" s="172"/>
      <c r="D7" s="10" t="s">
        <v>72</v>
      </c>
      <c r="E7" s="11" t="s">
        <v>69</v>
      </c>
      <c r="F7" s="21" t="s">
        <v>170</v>
      </c>
    </row>
    <row r="8" spans="2:6" ht="23.25">
      <c r="B8" s="181"/>
      <c r="C8" s="182"/>
      <c r="D8" s="33"/>
      <c r="E8" s="12"/>
      <c r="F8" s="23"/>
    </row>
    <row r="9" spans="2:6" ht="23.25">
      <c r="B9" s="181"/>
      <c r="C9" s="182"/>
      <c r="D9" s="33"/>
      <c r="E9" s="12"/>
      <c r="F9" s="23"/>
    </row>
    <row r="10" spans="2:6" ht="23.25">
      <c r="B10" s="181"/>
      <c r="C10" s="182"/>
      <c r="D10" s="33"/>
      <c r="E10" s="12"/>
      <c r="F10" s="23"/>
    </row>
    <row r="11" spans="2:6" ht="23.25">
      <c r="B11" s="181"/>
      <c r="C11" s="182"/>
      <c r="D11" s="33"/>
      <c r="E11" s="12"/>
      <c r="F11" s="23"/>
    </row>
    <row r="12" spans="2:6" ht="23.25">
      <c r="B12" s="181"/>
      <c r="C12" s="182"/>
      <c r="D12" s="33"/>
      <c r="E12" s="12"/>
      <c r="F12" s="23"/>
    </row>
    <row r="13" spans="2:6" ht="23.25">
      <c r="B13" s="181"/>
      <c r="C13" s="182"/>
      <c r="D13" s="33"/>
      <c r="E13" s="12"/>
      <c r="F13" s="23"/>
    </row>
    <row r="14" spans="2:6" ht="23.25">
      <c r="B14" s="181"/>
      <c r="C14" s="182"/>
      <c r="D14" s="69"/>
      <c r="E14" s="12"/>
      <c r="F14" s="23"/>
    </row>
    <row r="15" spans="2:6" ht="23.25">
      <c r="B15" s="181"/>
      <c r="C15" s="182"/>
      <c r="D15" s="69"/>
      <c r="E15" s="12"/>
      <c r="F15" s="23"/>
    </row>
    <row r="16" spans="2:6" ht="23.25">
      <c r="B16" s="181"/>
      <c r="C16" s="182"/>
      <c r="D16" s="69"/>
      <c r="E16" s="12"/>
      <c r="F16" s="23"/>
    </row>
    <row r="17" spans="2:6" ht="23.25">
      <c r="B17" s="181"/>
      <c r="C17" s="182"/>
      <c r="D17" s="69"/>
      <c r="E17" s="12"/>
      <c r="F17" s="23"/>
    </row>
    <row r="18" spans="2:6" ht="23.25">
      <c r="B18" s="181"/>
      <c r="C18" s="182"/>
      <c r="D18" s="69"/>
      <c r="E18" s="12"/>
      <c r="F18" s="23"/>
    </row>
    <row r="19" spans="2:6" ht="23.25">
      <c r="B19" s="181"/>
      <c r="C19" s="182"/>
      <c r="D19" s="69"/>
      <c r="E19" s="12"/>
      <c r="F19" s="23"/>
    </row>
    <row r="20" spans="2:6" customFormat="1" ht="21" customHeight="1"/>
    <row r="21" spans="2:6" customFormat="1" ht="33.75" customHeight="1">
      <c r="B21" s="160" t="s">
        <v>16</v>
      </c>
      <c r="C21" s="161"/>
      <c r="D21" s="161"/>
      <c r="E21" s="161"/>
      <c r="F21" s="162"/>
    </row>
    <row r="22" spans="2:6" customFormat="1" ht="33.75" customHeight="1">
      <c r="B22" s="163"/>
      <c r="C22" s="164"/>
      <c r="D22" s="164"/>
      <c r="E22" s="164"/>
      <c r="F22" s="165"/>
    </row>
    <row r="23" spans="2:6" customFormat="1" ht="26.25" customHeight="1">
      <c r="B23" s="147"/>
      <c r="C23" s="148"/>
      <c r="D23" s="148"/>
      <c r="E23" s="148"/>
      <c r="F23" s="149"/>
    </row>
    <row r="24" spans="2:6" customFormat="1" ht="26.25" customHeight="1">
      <c r="B24" s="150"/>
      <c r="C24" s="151"/>
      <c r="D24" s="151"/>
      <c r="E24" s="151"/>
      <c r="F24" s="152"/>
    </row>
    <row r="25" spans="2:6" customFormat="1" ht="26.25" customHeight="1">
      <c r="B25" s="150"/>
      <c r="C25" s="151"/>
      <c r="D25" s="151"/>
      <c r="E25" s="151"/>
      <c r="F25" s="152"/>
    </row>
    <row r="26" spans="2:6" customFormat="1" ht="26.25" customHeight="1">
      <c r="B26" s="150"/>
      <c r="C26" s="151"/>
      <c r="D26" s="151"/>
      <c r="E26" s="151"/>
      <c r="F26" s="152"/>
    </row>
    <row r="27" spans="2:6" customFormat="1" ht="26.25" customHeight="1">
      <c r="B27" s="150"/>
      <c r="C27" s="151"/>
      <c r="D27" s="151"/>
      <c r="E27" s="151"/>
      <c r="F27" s="152"/>
    </row>
    <row r="28" spans="2:6" customFormat="1" ht="26.25" customHeight="1">
      <c r="B28" s="150"/>
      <c r="C28" s="151"/>
      <c r="D28" s="151"/>
      <c r="E28" s="151"/>
      <c r="F28" s="152"/>
    </row>
    <row r="29" spans="2:6" customFormat="1" ht="26.25" customHeight="1">
      <c r="B29" s="153"/>
      <c r="C29" s="154"/>
      <c r="D29" s="154"/>
      <c r="E29" s="154"/>
      <c r="F29" s="155"/>
    </row>
    <row r="30" spans="2:6" customFormat="1" ht="7.5" customHeight="1"/>
    <row r="31" spans="2:6" customFormat="1" ht="15">
      <c r="B31" s="13"/>
      <c r="C31" s="14"/>
      <c r="D31" s="14"/>
      <c r="E31" s="14"/>
      <c r="F31" s="24"/>
    </row>
    <row r="32" spans="2:6" customFormat="1" ht="15">
      <c r="B32" s="15"/>
      <c r="C32" s="16"/>
      <c r="D32" s="16"/>
      <c r="E32" s="16"/>
      <c r="F32" s="25"/>
    </row>
    <row r="33" spans="2:6" customFormat="1" ht="15">
      <c r="B33" s="15"/>
      <c r="C33" s="16"/>
      <c r="D33" s="16"/>
      <c r="E33" s="16"/>
      <c r="F33" s="25"/>
    </row>
    <row r="34" spans="2:6" customFormat="1" ht="15">
      <c r="B34" s="15"/>
      <c r="C34" s="16"/>
      <c r="D34" s="16"/>
      <c r="E34" s="16"/>
      <c r="F34" s="25"/>
    </row>
    <row r="35" spans="2:6" customFormat="1" ht="15">
      <c r="B35" s="15"/>
      <c r="C35" s="16"/>
      <c r="D35" s="16"/>
      <c r="E35" s="16"/>
      <c r="F35" s="25"/>
    </row>
    <row r="36" spans="2:6" customFormat="1" ht="15">
      <c r="B36" s="15"/>
      <c r="C36" s="16"/>
      <c r="D36" s="16"/>
      <c r="E36" s="16"/>
      <c r="F36" s="25"/>
    </row>
    <row r="37" spans="2:6" customFormat="1" ht="15">
      <c r="B37" s="15"/>
      <c r="C37" s="16" t="s">
        <v>31</v>
      </c>
      <c r="D37" s="16"/>
      <c r="E37" s="16"/>
      <c r="F37" s="25"/>
    </row>
    <row r="38" spans="2:6" customFormat="1" ht="15">
      <c r="B38" s="17"/>
      <c r="C38" s="18"/>
      <c r="D38" s="18"/>
      <c r="E38" s="18"/>
      <c r="F38" s="26"/>
    </row>
    <row r="39" spans="2:6" customFormat="1" ht="15"/>
  </sheetData>
  <mergeCells count="18">
    <mergeCell ref="B14:C14"/>
    <mergeCell ref="B15:C15"/>
    <mergeCell ref="B16:C16"/>
    <mergeCell ref="B2:E2"/>
    <mergeCell ref="B23:F29"/>
    <mergeCell ref="B21:F22"/>
    <mergeCell ref="B13:C13"/>
    <mergeCell ref="B19:C19"/>
    <mergeCell ref="B3:C5"/>
    <mergeCell ref="B8:C8"/>
    <mergeCell ref="B9:C9"/>
    <mergeCell ref="B10:C10"/>
    <mergeCell ref="B11:C11"/>
    <mergeCell ref="B12:C12"/>
    <mergeCell ref="B7:C7"/>
    <mergeCell ref="D3:D5"/>
    <mergeCell ref="B17:C17"/>
    <mergeCell ref="B18:C18"/>
  </mergeCells>
  <dataValidations count="2">
    <dataValidation type="list" allowBlank="1" showInputMessage="1" showErrorMessage="1" sqref="B8:C19" xr:uid="{00000000-0002-0000-0200-000000000000}">
      <formula1>Operação</formula1>
    </dataValidation>
    <dataValidation type="whole" allowBlank="1" showInputMessage="1" showErrorMessage="1" sqref="D8:D19" xr:uid="{00000000-0002-0000-0200-000001000000}">
      <formula1>0</formula1>
      <formula2>9999999999999</formula2>
    </dataValidation>
  </dataValidations>
  <printOptions horizontalCentered="1"/>
  <pageMargins left="0" right="0" top="0" bottom="0" header="0" footer="0"/>
  <pageSetup paperSize="9" scale="48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pageSetUpPr fitToPage="1"/>
  </sheetPr>
  <dimension ref="A1:S993"/>
  <sheetViews>
    <sheetView showGridLines="0" topLeftCell="A58" zoomScale="70" zoomScaleNormal="70" workbookViewId="0">
      <selection activeCell="A73" sqref="A73:D73"/>
    </sheetView>
  </sheetViews>
  <sheetFormatPr defaultColWidth="14.42578125" defaultRowHeight="15" customHeight="1"/>
  <cols>
    <col min="1" max="1" width="29.140625" customWidth="1"/>
    <col min="2" max="2" width="39.140625" bestFit="1" customWidth="1"/>
    <col min="3" max="3" width="42.5703125" bestFit="1" customWidth="1"/>
    <col min="4" max="4" width="18.7109375" customWidth="1"/>
    <col min="5" max="5" width="14.28515625" customWidth="1"/>
    <col min="6" max="6" width="8.7109375" customWidth="1"/>
    <col min="7" max="7" width="22.5703125" customWidth="1"/>
    <col min="8" max="8" width="14.85546875" customWidth="1"/>
    <col min="9" max="9" width="8.7109375" customWidth="1"/>
    <col min="10" max="10" width="19" customWidth="1"/>
    <col min="11" max="11" width="8.7109375" customWidth="1"/>
    <col min="12" max="12" width="16.5703125" customWidth="1"/>
    <col min="13" max="13" width="8.7109375" customWidth="1"/>
    <col min="14" max="14" width="36.7109375" customWidth="1"/>
    <col min="15" max="15" width="8.7109375" customWidth="1"/>
    <col min="16" max="16" width="13.7109375" customWidth="1"/>
    <col min="17" max="17" width="10.7109375" bestFit="1" customWidth="1"/>
    <col min="18" max="18" width="8.7109375" customWidth="1"/>
    <col min="19" max="19" width="12.140625" customWidth="1"/>
    <col min="20" max="25" width="8.7109375" customWidth="1"/>
  </cols>
  <sheetData>
    <row r="1" spans="1:19">
      <c r="A1" s="1" t="s">
        <v>73</v>
      </c>
      <c r="B1" s="2" t="s">
        <v>74</v>
      </c>
      <c r="C1" s="2" t="s">
        <v>75</v>
      </c>
      <c r="D1" s="2" t="s">
        <v>76</v>
      </c>
      <c r="G1" s="65" t="s">
        <v>77</v>
      </c>
      <c r="H1" s="66" t="s">
        <v>76</v>
      </c>
      <c r="J1" s="62" t="s">
        <v>78</v>
      </c>
      <c r="L1" s="72" t="s">
        <v>79</v>
      </c>
      <c r="N1" s="3" t="s">
        <v>179</v>
      </c>
      <c r="P1" s="72" t="s">
        <v>181</v>
      </c>
      <c r="Q1" s="80" t="s">
        <v>185</v>
      </c>
      <c r="S1" s="80" t="s">
        <v>187</v>
      </c>
    </row>
    <row r="2" spans="1:19">
      <c r="A2" s="4" t="s">
        <v>171</v>
      </c>
      <c r="B2" s="5" t="s">
        <v>239</v>
      </c>
      <c r="C2" s="5" t="s">
        <v>239</v>
      </c>
      <c r="D2" s="5">
        <v>77981419111</v>
      </c>
      <c r="G2" s="60" t="s">
        <v>65</v>
      </c>
      <c r="H2" s="64">
        <v>77998169274</v>
      </c>
      <c r="J2" s="61" t="s">
        <v>178</v>
      </c>
      <c r="L2" s="61" t="s">
        <v>81</v>
      </c>
      <c r="N2" s="6" t="s">
        <v>80</v>
      </c>
      <c r="P2" s="77" t="s">
        <v>182</v>
      </c>
      <c r="Q2" s="79">
        <v>2.2000000000000002</v>
      </c>
      <c r="S2" s="6" t="s">
        <v>97</v>
      </c>
    </row>
    <row r="3" spans="1:19">
      <c r="A3" s="4" t="s">
        <v>80</v>
      </c>
      <c r="B3" s="5" t="s">
        <v>230</v>
      </c>
      <c r="C3" s="5" t="s">
        <v>230</v>
      </c>
      <c r="D3" s="5">
        <v>77998482159</v>
      </c>
      <c r="G3" s="60" t="s">
        <v>84</v>
      </c>
      <c r="H3" s="64">
        <v>77991146528</v>
      </c>
      <c r="J3" s="61" t="s">
        <v>85</v>
      </c>
      <c r="L3" s="61" t="s">
        <v>86</v>
      </c>
      <c r="N3" s="6" t="s">
        <v>87</v>
      </c>
      <c r="P3" s="77" t="s">
        <v>183</v>
      </c>
      <c r="Q3" s="79">
        <v>1.4</v>
      </c>
      <c r="S3" s="6" t="s">
        <v>100</v>
      </c>
    </row>
    <row r="4" spans="1:19">
      <c r="A4" s="4" t="s">
        <v>82</v>
      </c>
      <c r="B4" s="5" t="s">
        <v>212</v>
      </c>
      <c r="C4" s="5" t="s">
        <v>83</v>
      </c>
      <c r="D4" s="5">
        <v>77981111927</v>
      </c>
      <c r="G4" s="60" t="s">
        <v>89</v>
      </c>
      <c r="H4" s="64">
        <v>77988453424</v>
      </c>
      <c r="J4" s="61" t="s">
        <v>64</v>
      </c>
      <c r="L4" s="63" t="s">
        <v>93</v>
      </c>
      <c r="N4" s="6" t="s">
        <v>90</v>
      </c>
      <c r="P4" s="78" t="s">
        <v>184</v>
      </c>
      <c r="Q4" s="79">
        <v>1.2</v>
      </c>
    </row>
    <row r="5" spans="1:19">
      <c r="A5" s="4" t="s">
        <v>88</v>
      </c>
      <c r="B5" s="5" t="s">
        <v>216</v>
      </c>
      <c r="C5" s="5" t="s">
        <v>216</v>
      </c>
      <c r="D5" s="5">
        <v>77999457667</v>
      </c>
      <c r="G5" s="60" t="s">
        <v>92</v>
      </c>
      <c r="H5" s="64">
        <v>77988679898</v>
      </c>
      <c r="J5" s="61" t="s">
        <v>177</v>
      </c>
      <c r="L5" s="114" t="s">
        <v>253</v>
      </c>
      <c r="N5" s="6" t="s">
        <v>91</v>
      </c>
      <c r="P5" s="106" t="s">
        <v>209</v>
      </c>
      <c r="Q5" s="79">
        <v>0</v>
      </c>
    </row>
    <row r="6" spans="1:19">
      <c r="A6" s="4" t="s">
        <v>91</v>
      </c>
      <c r="B6" s="5" t="s">
        <v>231</v>
      </c>
      <c r="C6" s="5" t="s">
        <v>231</v>
      </c>
      <c r="D6" s="5">
        <v>77999452177</v>
      </c>
      <c r="G6" s="60" t="s">
        <v>96</v>
      </c>
      <c r="H6" s="64">
        <v>77988738669</v>
      </c>
      <c r="J6" s="61" t="s">
        <v>211</v>
      </c>
      <c r="N6" s="6" t="s">
        <v>94</v>
      </c>
    </row>
    <row r="7" spans="1:19">
      <c r="A7" s="4" t="s">
        <v>94</v>
      </c>
      <c r="B7" s="5" t="s">
        <v>95</v>
      </c>
      <c r="C7" s="5" t="s">
        <v>95</v>
      </c>
      <c r="D7" s="5">
        <v>77998002269</v>
      </c>
      <c r="G7" s="60" t="s">
        <v>99</v>
      </c>
      <c r="H7" s="64">
        <v>77999384411</v>
      </c>
      <c r="J7" s="63" t="s">
        <v>241</v>
      </c>
      <c r="N7" s="6" t="s">
        <v>101</v>
      </c>
    </row>
    <row r="8" spans="1:19">
      <c r="A8" s="4" t="s">
        <v>98</v>
      </c>
      <c r="B8" s="5" t="s">
        <v>219</v>
      </c>
      <c r="C8" s="5" t="s">
        <v>219</v>
      </c>
      <c r="D8" s="5">
        <v>77981354705</v>
      </c>
      <c r="G8" s="60" t="s">
        <v>103</v>
      </c>
      <c r="H8" s="64">
        <v>77981428315</v>
      </c>
      <c r="J8" s="113" t="s">
        <v>242</v>
      </c>
      <c r="N8" s="6" t="s">
        <v>104</v>
      </c>
    </row>
    <row r="9" spans="1:19">
      <c r="A9" s="4" t="s">
        <v>102</v>
      </c>
      <c r="B9" s="5" t="s">
        <v>219</v>
      </c>
      <c r="C9" s="5" t="s">
        <v>219</v>
      </c>
      <c r="D9" s="5">
        <v>77981354705</v>
      </c>
      <c r="G9" s="60" t="s">
        <v>105</v>
      </c>
      <c r="H9" s="64">
        <v>77998705657</v>
      </c>
      <c r="J9" s="113" t="s">
        <v>243</v>
      </c>
      <c r="N9" s="6" t="s">
        <v>106</v>
      </c>
    </row>
    <row r="10" spans="1:19">
      <c r="A10" s="4" t="s">
        <v>104</v>
      </c>
      <c r="B10" s="5" t="s">
        <v>220</v>
      </c>
      <c r="C10" s="5" t="s">
        <v>220</v>
      </c>
      <c r="D10" s="5">
        <v>77998706700</v>
      </c>
      <c r="G10" s="60" t="s">
        <v>107</v>
      </c>
      <c r="H10" s="64">
        <v>77998010225</v>
      </c>
      <c r="J10" s="48"/>
      <c r="N10" s="6" t="s">
        <v>108</v>
      </c>
    </row>
    <row r="11" spans="1:19">
      <c r="A11" s="4" t="s">
        <v>109</v>
      </c>
      <c r="B11" s="5" t="s">
        <v>212</v>
      </c>
      <c r="C11" s="5" t="s">
        <v>110</v>
      </c>
      <c r="D11" s="5">
        <v>77998184567</v>
      </c>
      <c r="G11" s="67" t="s">
        <v>111</v>
      </c>
      <c r="H11" s="68">
        <v>77981318486</v>
      </c>
      <c r="J11" s="48"/>
      <c r="N11" s="6" t="s">
        <v>112</v>
      </c>
    </row>
    <row r="12" spans="1:19">
      <c r="A12" s="4" t="s">
        <v>106</v>
      </c>
      <c r="B12" s="5" t="s">
        <v>225</v>
      </c>
      <c r="C12" s="5" t="s">
        <v>225</v>
      </c>
      <c r="D12" s="5">
        <v>77988386285</v>
      </c>
      <c r="G12" s="104" t="s">
        <v>205</v>
      </c>
      <c r="H12" s="105">
        <v>77981132082</v>
      </c>
      <c r="J12" s="48"/>
      <c r="N12" s="6" t="s">
        <v>113</v>
      </c>
    </row>
    <row r="13" spans="1:19">
      <c r="A13" s="4" t="s">
        <v>114</v>
      </c>
      <c r="B13" s="5" t="s">
        <v>235</v>
      </c>
      <c r="C13" s="5" t="s">
        <v>235</v>
      </c>
      <c r="D13" s="5">
        <v>77999934688</v>
      </c>
      <c r="G13" s="104" t="s">
        <v>206</v>
      </c>
      <c r="H13" s="105">
        <v>77981582856</v>
      </c>
      <c r="J13" s="48"/>
      <c r="N13" s="6" t="s">
        <v>115</v>
      </c>
    </row>
    <row r="14" spans="1:19">
      <c r="A14" s="4" t="s">
        <v>207</v>
      </c>
      <c r="B14" s="5" t="s">
        <v>217</v>
      </c>
      <c r="C14" s="5" t="s">
        <v>217</v>
      </c>
      <c r="D14" s="5">
        <v>77998184567</v>
      </c>
      <c r="G14" s="67" t="s">
        <v>208</v>
      </c>
      <c r="H14" s="68">
        <v>77999888079</v>
      </c>
      <c r="J14" s="48"/>
      <c r="N14" s="6" t="s">
        <v>116</v>
      </c>
    </row>
    <row r="15" spans="1:19">
      <c r="A15" s="4" t="s">
        <v>112</v>
      </c>
      <c r="B15" s="5" t="s">
        <v>238</v>
      </c>
      <c r="C15" s="5" t="s">
        <v>238</v>
      </c>
      <c r="D15" s="5">
        <v>77991582856</v>
      </c>
      <c r="G15" s="60" t="s">
        <v>210</v>
      </c>
      <c r="H15" s="64">
        <v>75982021426</v>
      </c>
      <c r="J15" s="48"/>
      <c r="N15" s="6" t="s">
        <v>117</v>
      </c>
    </row>
    <row r="16" spans="1:19">
      <c r="A16" s="4" t="s">
        <v>113</v>
      </c>
      <c r="B16" s="5" t="s">
        <v>221</v>
      </c>
      <c r="C16" s="5" t="s">
        <v>221</v>
      </c>
      <c r="D16" s="5">
        <v>77981132082</v>
      </c>
      <c r="G16" s="109" t="s">
        <v>213</v>
      </c>
      <c r="H16" s="110">
        <v>77999494277</v>
      </c>
      <c r="J16" s="48"/>
      <c r="N16" s="6" t="s">
        <v>119</v>
      </c>
    </row>
    <row r="17" spans="1:14">
      <c r="A17" s="4" t="s">
        <v>118</v>
      </c>
      <c r="B17" s="5" t="s">
        <v>217</v>
      </c>
      <c r="C17" s="5" t="s">
        <v>217</v>
      </c>
      <c r="D17" s="5">
        <v>77998184567</v>
      </c>
      <c r="G17" s="109" t="s">
        <v>214</v>
      </c>
      <c r="H17" s="111">
        <v>77974004511</v>
      </c>
      <c r="J17" s="48"/>
      <c r="N17" s="6" t="s">
        <v>120</v>
      </c>
    </row>
    <row r="18" spans="1:14">
      <c r="A18" s="4" t="s">
        <v>116</v>
      </c>
      <c r="B18" s="5" t="s">
        <v>233</v>
      </c>
      <c r="C18" s="5" t="s">
        <v>233</v>
      </c>
      <c r="D18" s="5">
        <v>77991868086</v>
      </c>
      <c r="G18" s="116" t="s">
        <v>254</v>
      </c>
      <c r="H18" s="117"/>
      <c r="J18" s="48"/>
      <c r="N18" s="6" t="s">
        <v>122</v>
      </c>
    </row>
    <row r="19" spans="1:14">
      <c r="A19" s="4" t="s">
        <v>121</v>
      </c>
      <c r="B19" s="5" t="s">
        <v>216</v>
      </c>
      <c r="C19" s="5" t="s">
        <v>216</v>
      </c>
      <c r="D19" s="5">
        <v>7799457667</v>
      </c>
      <c r="G19" s="48"/>
      <c r="H19" s="48"/>
      <c r="J19" s="48"/>
      <c r="N19" s="6" t="s">
        <v>123</v>
      </c>
    </row>
    <row r="20" spans="1:14" ht="15.75" customHeight="1">
      <c r="A20" s="4" t="s">
        <v>117</v>
      </c>
      <c r="B20" s="5" t="s">
        <v>232</v>
      </c>
      <c r="C20" s="5" t="s">
        <v>232</v>
      </c>
      <c r="D20" s="5">
        <v>77988643480</v>
      </c>
      <c r="G20" s="48"/>
      <c r="H20" s="48"/>
      <c r="J20" s="48"/>
      <c r="N20" s="6" t="s">
        <v>125</v>
      </c>
    </row>
    <row r="21" spans="1:14" ht="15.75" customHeight="1">
      <c r="A21" s="4" t="s">
        <v>124</v>
      </c>
      <c r="B21" s="5" t="s">
        <v>218</v>
      </c>
      <c r="C21" s="5" t="s">
        <v>218</v>
      </c>
      <c r="D21" s="5">
        <v>77991521276</v>
      </c>
      <c r="G21" s="48"/>
      <c r="H21" s="48"/>
      <c r="J21" s="48"/>
      <c r="N21" s="6" t="s">
        <v>126</v>
      </c>
    </row>
    <row r="22" spans="1:14" ht="15.75" customHeight="1">
      <c r="A22" s="4" t="s">
        <v>122</v>
      </c>
      <c r="B22" s="5" t="s">
        <v>237</v>
      </c>
      <c r="C22" s="5" t="s">
        <v>237</v>
      </c>
      <c r="D22" s="5">
        <v>77999906558</v>
      </c>
      <c r="G22" s="48"/>
      <c r="H22" s="48"/>
      <c r="J22" s="48"/>
      <c r="N22" s="6" t="s">
        <v>127</v>
      </c>
    </row>
    <row r="23" spans="1:14" ht="15.75" customHeight="1">
      <c r="A23" s="4" t="s">
        <v>128</v>
      </c>
      <c r="B23" s="5" t="s">
        <v>212</v>
      </c>
      <c r="C23" s="5" t="s">
        <v>129</v>
      </c>
      <c r="D23" s="5">
        <v>77988222073</v>
      </c>
      <c r="G23" s="48"/>
      <c r="H23" s="48"/>
      <c r="J23" s="48"/>
      <c r="N23" s="6" t="s">
        <v>130</v>
      </c>
    </row>
    <row r="24" spans="1:14" ht="15.75" customHeight="1">
      <c r="A24" s="4" t="s">
        <v>115</v>
      </c>
      <c r="B24" s="5" t="s">
        <v>217</v>
      </c>
      <c r="C24" s="5" t="s">
        <v>217</v>
      </c>
      <c r="D24" s="5">
        <v>77998184567</v>
      </c>
      <c r="G24" s="48"/>
      <c r="H24" s="48"/>
      <c r="J24" s="48"/>
      <c r="N24" s="6" t="s">
        <v>131</v>
      </c>
    </row>
    <row r="25" spans="1:14" ht="15.75" customHeight="1">
      <c r="A25" s="4" t="s">
        <v>87</v>
      </c>
      <c r="B25" s="5" t="s">
        <v>212</v>
      </c>
      <c r="C25" s="5" t="s">
        <v>110</v>
      </c>
      <c r="D25" s="5">
        <v>77998184567</v>
      </c>
      <c r="G25" s="48"/>
      <c r="H25" s="48"/>
      <c r="J25" s="48"/>
      <c r="N25" s="6" t="s">
        <v>132</v>
      </c>
    </row>
    <row r="26" spans="1:14" ht="15.75" customHeight="1">
      <c r="A26" s="4" t="s">
        <v>133</v>
      </c>
      <c r="B26" s="5" t="s">
        <v>216</v>
      </c>
      <c r="C26" s="5" t="s">
        <v>216</v>
      </c>
      <c r="D26" s="5">
        <v>7799457667</v>
      </c>
      <c r="G26" s="48"/>
      <c r="H26" s="48"/>
      <c r="J26" s="48"/>
      <c r="N26" s="6" t="s">
        <v>134</v>
      </c>
    </row>
    <row r="27" spans="1:14" ht="15.75" customHeight="1">
      <c r="A27" s="4" t="s">
        <v>135</v>
      </c>
      <c r="B27" s="5" t="s">
        <v>212</v>
      </c>
      <c r="C27" s="5" t="s">
        <v>129</v>
      </c>
      <c r="D27" s="5" t="s">
        <v>136</v>
      </c>
      <c r="G27" s="48"/>
      <c r="H27" s="48"/>
      <c r="N27" s="6" t="s">
        <v>137</v>
      </c>
    </row>
    <row r="28" spans="1:14" ht="15.75" customHeight="1">
      <c r="A28" s="4" t="s">
        <v>138</v>
      </c>
      <c r="B28" s="5" t="s">
        <v>139</v>
      </c>
      <c r="C28" s="5" t="s">
        <v>139</v>
      </c>
      <c r="D28" s="5">
        <v>77981354705</v>
      </c>
      <c r="N28" s="6"/>
    </row>
    <row r="29" spans="1:14" ht="15.75" customHeight="1">
      <c r="A29" s="4" t="s">
        <v>204</v>
      </c>
      <c r="B29" s="5" t="s">
        <v>216</v>
      </c>
      <c r="C29" s="5" t="s">
        <v>216</v>
      </c>
      <c r="D29" s="5">
        <v>7799457667</v>
      </c>
      <c r="N29" s="6"/>
    </row>
    <row r="30" spans="1:14" ht="15.75" customHeight="1">
      <c r="A30" s="4" t="s">
        <v>140</v>
      </c>
      <c r="B30" s="5" t="s">
        <v>222</v>
      </c>
      <c r="C30" s="5" t="s">
        <v>222</v>
      </c>
      <c r="D30" s="5">
        <v>77999115047</v>
      </c>
      <c r="N30" s="6"/>
    </row>
    <row r="31" spans="1:14" ht="15.75" customHeight="1">
      <c r="A31" s="4" t="s">
        <v>244</v>
      </c>
      <c r="B31" s="5" t="s">
        <v>250</v>
      </c>
      <c r="C31" s="5" t="s">
        <v>250</v>
      </c>
      <c r="D31" s="5">
        <v>77991350687</v>
      </c>
      <c r="N31" s="6"/>
    </row>
    <row r="32" spans="1:14" ht="15.75" customHeight="1">
      <c r="A32" s="4" t="s">
        <v>245</v>
      </c>
      <c r="B32" s="5" t="s">
        <v>251</v>
      </c>
      <c r="C32" s="5" t="s">
        <v>251</v>
      </c>
      <c r="D32" s="5"/>
      <c r="N32" s="6"/>
    </row>
    <row r="33" spans="1:14" ht="15.75" customHeight="1">
      <c r="A33" s="4" t="s">
        <v>246</v>
      </c>
      <c r="B33" s="5" t="s">
        <v>249</v>
      </c>
      <c r="C33" s="5" t="s">
        <v>249</v>
      </c>
      <c r="D33" s="5"/>
      <c r="N33" s="6"/>
    </row>
    <row r="34" spans="1:14" ht="15.75" customHeight="1">
      <c r="A34" s="4" t="s">
        <v>247</v>
      </c>
      <c r="B34" s="5" t="s">
        <v>240</v>
      </c>
      <c r="C34" s="5" t="s">
        <v>240</v>
      </c>
      <c r="D34" s="5"/>
      <c r="N34" s="6"/>
    </row>
    <row r="35" spans="1:14" ht="15.75" customHeight="1">
      <c r="A35" s="4" t="s">
        <v>248</v>
      </c>
      <c r="B35" s="5" t="s">
        <v>252</v>
      </c>
      <c r="C35" s="5" t="s">
        <v>252</v>
      </c>
      <c r="D35" s="5"/>
      <c r="N35" s="6"/>
    </row>
    <row r="36" spans="1:14" ht="15.75" customHeight="1">
      <c r="A36" s="4" t="s">
        <v>255</v>
      </c>
      <c r="B36" s="5" t="s">
        <v>240</v>
      </c>
      <c r="C36" s="5" t="s">
        <v>240</v>
      </c>
      <c r="D36" s="118"/>
      <c r="N36" s="6"/>
    </row>
    <row r="37" spans="1:14" ht="15.75" customHeight="1">
      <c r="A37" s="4" t="s">
        <v>256</v>
      </c>
      <c r="B37" s="5" t="s">
        <v>240</v>
      </c>
      <c r="C37" s="5" t="s">
        <v>240</v>
      </c>
      <c r="D37" s="118"/>
      <c r="N37" s="6"/>
    </row>
    <row r="38" spans="1:14" ht="15.75" customHeight="1">
      <c r="A38" s="4" t="s">
        <v>141</v>
      </c>
      <c r="B38" s="5" t="s">
        <v>234</v>
      </c>
      <c r="C38" s="5" t="s">
        <v>234</v>
      </c>
      <c r="D38" s="5">
        <v>73981086029</v>
      </c>
      <c r="N38" s="6"/>
    </row>
    <row r="39" spans="1:14" ht="15.75" customHeight="1">
      <c r="A39" s="4" t="s">
        <v>142</v>
      </c>
      <c r="B39" s="5" t="s">
        <v>143</v>
      </c>
      <c r="C39" s="5" t="s">
        <v>143</v>
      </c>
      <c r="D39" s="5">
        <v>73999353657</v>
      </c>
      <c r="N39" s="6"/>
    </row>
    <row r="40" spans="1:14" ht="15.75" customHeight="1">
      <c r="A40" s="4" t="s">
        <v>90</v>
      </c>
      <c r="B40" s="5" t="s">
        <v>216</v>
      </c>
      <c r="C40" s="5" t="s">
        <v>216</v>
      </c>
      <c r="D40" s="5">
        <v>7799457667</v>
      </c>
      <c r="N40" s="6"/>
    </row>
    <row r="41" spans="1:14" ht="15.75" customHeight="1">
      <c r="A41" s="4" t="s">
        <v>144</v>
      </c>
      <c r="B41" s="5" t="s">
        <v>217</v>
      </c>
      <c r="C41" s="5" t="s">
        <v>217</v>
      </c>
      <c r="D41" s="5">
        <v>77998184567</v>
      </c>
      <c r="N41" s="6"/>
    </row>
    <row r="42" spans="1:14" ht="15.75" customHeight="1">
      <c r="A42" s="4" t="s">
        <v>145</v>
      </c>
      <c r="B42" s="5" t="s">
        <v>217</v>
      </c>
      <c r="C42" s="5" t="s">
        <v>217</v>
      </c>
      <c r="D42" s="5">
        <v>77998184567</v>
      </c>
      <c r="N42" s="6"/>
    </row>
    <row r="43" spans="1:14" ht="15.75" customHeight="1">
      <c r="A43" s="4" t="s">
        <v>146</v>
      </c>
      <c r="B43" s="5" t="s">
        <v>239</v>
      </c>
      <c r="C43" s="5" t="s">
        <v>239</v>
      </c>
      <c r="D43" s="5">
        <v>77981419111</v>
      </c>
      <c r="N43" s="6"/>
    </row>
    <row r="44" spans="1:14" ht="15.75" customHeight="1">
      <c r="A44" s="4" t="s">
        <v>147</v>
      </c>
      <c r="B44" s="5" t="s">
        <v>212</v>
      </c>
      <c r="C44" s="5" t="s">
        <v>129</v>
      </c>
      <c r="D44" s="5">
        <v>77988222073</v>
      </c>
      <c r="N44" s="6"/>
    </row>
    <row r="45" spans="1:14" ht="15.75" customHeight="1">
      <c r="A45" s="4" t="s">
        <v>148</v>
      </c>
      <c r="B45" s="5" t="s">
        <v>217</v>
      </c>
      <c r="C45" s="5" t="s">
        <v>217</v>
      </c>
      <c r="D45" s="5">
        <v>77998184567</v>
      </c>
      <c r="N45" s="6"/>
    </row>
    <row r="46" spans="1:14" ht="15.75" customHeight="1">
      <c r="A46" s="4" t="s">
        <v>119</v>
      </c>
      <c r="B46" s="5" t="s">
        <v>236</v>
      </c>
      <c r="C46" s="5" t="s">
        <v>236</v>
      </c>
      <c r="D46" s="5">
        <v>77981146237</v>
      </c>
      <c r="N46" s="6"/>
    </row>
    <row r="47" spans="1:14" ht="15.75" customHeight="1">
      <c r="A47" s="4" t="s">
        <v>149</v>
      </c>
      <c r="B47" s="5" t="s">
        <v>224</v>
      </c>
      <c r="C47" s="5" t="s">
        <v>224</v>
      </c>
      <c r="D47" s="5">
        <v>77988059096</v>
      </c>
      <c r="N47" s="6"/>
    </row>
    <row r="48" spans="1:14" ht="15.75" customHeight="1">
      <c r="A48" s="4" t="s">
        <v>127</v>
      </c>
      <c r="B48" s="5" t="s">
        <v>221</v>
      </c>
      <c r="C48" s="5" t="s">
        <v>221</v>
      </c>
      <c r="D48" s="5">
        <v>77981132082</v>
      </c>
      <c r="N48" s="6"/>
    </row>
    <row r="49" spans="1:14" ht="15.75" customHeight="1">
      <c r="A49" s="4" t="s">
        <v>150</v>
      </c>
      <c r="B49" s="5" t="s">
        <v>229</v>
      </c>
      <c r="C49" s="5" t="s">
        <v>229</v>
      </c>
      <c r="D49" s="5">
        <v>77991130813</v>
      </c>
      <c r="N49" s="6"/>
    </row>
    <row r="50" spans="1:14" ht="15.75" customHeight="1">
      <c r="A50" s="4" t="s">
        <v>151</v>
      </c>
      <c r="B50" s="5" t="s">
        <v>217</v>
      </c>
      <c r="C50" s="5" t="s">
        <v>217</v>
      </c>
      <c r="D50" s="5">
        <v>77998184567</v>
      </c>
      <c r="N50" s="6"/>
    </row>
    <row r="51" spans="1:14" ht="15.75" customHeight="1">
      <c r="A51" s="4" t="s">
        <v>152</v>
      </c>
      <c r="B51" s="5" t="s">
        <v>212</v>
      </c>
      <c r="C51" s="5" t="s">
        <v>129</v>
      </c>
      <c r="D51" s="5">
        <v>77988222073</v>
      </c>
      <c r="N51" s="6"/>
    </row>
    <row r="52" spans="1:14" ht="15.75" customHeight="1">
      <c r="A52" s="4" t="s">
        <v>153</v>
      </c>
      <c r="B52" s="5" t="s">
        <v>219</v>
      </c>
      <c r="C52" s="5" t="s">
        <v>219</v>
      </c>
      <c r="D52" s="5">
        <v>77981354705</v>
      </c>
      <c r="N52" s="6"/>
    </row>
    <row r="53" spans="1:14" ht="15.75" customHeight="1">
      <c r="A53" s="4" t="s">
        <v>154</v>
      </c>
      <c r="B53" s="5" t="s">
        <v>217</v>
      </c>
      <c r="C53" s="5" t="s">
        <v>217</v>
      </c>
      <c r="D53" s="5">
        <v>77998184567</v>
      </c>
      <c r="N53" s="6"/>
    </row>
    <row r="54" spans="1:14" ht="15.75" customHeight="1">
      <c r="A54" s="4" t="s">
        <v>155</v>
      </c>
      <c r="B54" s="5" t="s">
        <v>219</v>
      </c>
      <c r="C54" s="5" t="s">
        <v>219</v>
      </c>
      <c r="D54" s="5">
        <v>77981354705</v>
      </c>
      <c r="N54" s="6"/>
    </row>
    <row r="55" spans="1:14" ht="15.75" customHeight="1">
      <c r="A55" s="4" t="s">
        <v>156</v>
      </c>
      <c r="B55" s="5" t="s">
        <v>217</v>
      </c>
      <c r="C55" s="5" t="s">
        <v>217</v>
      </c>
      <c r="D55" s="5">
        <v>77998184567</v>
      </c>
      <c r="N55" s="6"/>
    </row>
    <row r="56" spans="1:14" ht="15.75" customHeight="1">
      <c r="A56" s="4" t="s">
        <v>157</v>
      </c>
      <c r="B56" s="5" t="s">
        <v>219</v>
      </c>
      <c r="C56" s="5" t="s">
        <v>219</v>
      </c>
      <c r="D56" s="5">
        <v>77981354705</v>
      </c>
      <c r="N56" s="6"/>
    </row>
    <row r="57" spans="1:14" ht="15.75" customHeight="1">
      <c r="A57" s="4" t="s">
        <v>158</v>
      </c>
      <c r="B57" s="5" t="s">
        <v>217</v>
      </c>
      <c r="C57" s="5" t="s">
        <v>217</v>
      </c>
      <c r="D57" s="5">
        <v>77998184567</v>
      </c>
      <c r="N57" s="6"/>
    </row>
    <row r="58" spans="1:14" ht="15.75" customHeight="1">
      <c r="A58" s="4" t="s">
        <v>130</v>
      </c>
      <c r="B58" s="5" t="s">
        <v>226</v>
      </c>
      <c r="C58" s="5" t="s">
        <v>226</v>
      </c>
      <c r="D58" s="5">
        <v>77999906558</v>
      </c>
      <c r="N58" s="6"/>
    </row>
    <row r="59" spans="1:14" ht="15.75" customHeight="1">
      <c r="A59" s="4" t="s">
        <v>172</v>
      </c>
      <c r="B59" s="5" t="s">
        <v>223</v>
      </c>
      <c r="C59" s="5" t="s">
        <v>223</v>
      </c>
      <c r="D59" s="5">
        <v>77992096788</v>
      </c>
      <c r="N59" s="6"/>
    </row>
    <row r="60" spans="1:14" ht="15.75" customHeight="1">
      <c r="A60" s="4" t="s">
        <v>159</v>
      </c>
      <c r="B60" s="5" t="s">
        <v>217</v>
      </c>
      <c r="C60" s="5" t="s">
        <v>217</v>
      </c>
      <c r="D60" s="5">
        <v>77998184567</v>
      </c>
      <c r="N60" s="6"/>
    </row>
    <row r="61" spans="1:14" ht="15.75" customHeight="1">
      <c r="A61" s="4" t="s">
        <v>160</v>
      </c>
      <c r="B61" s="5" t="s">
        <v>227</v>
      </c>
      <c r="C61" s="5" t="s">
        <v>227</v>
      </c>
      <c r="D61" s="5">
        <v>77981608953</v>
      </c>
      <c r="N61" s="6"/>
    </row>
    <row r="62" spans="1:14" ht="15.75" customHeight="1">
      <c r="A62" s="4" t="s">
        <v>161</v>
      </c>
      <c r="B62" s="5" t="s">
        <v>219</v>
      </c>
      <c r="C62" s="5" t="s">
        <v>219</v>
      </c>
      <c r="D62" s="5">
        <v>77981354705</v>
      </c>
      <c r="N62" s="6"/>
    </row>
    <row r="63" spans="1:14" ht="15.75" customHeight="1">
      <c r="A63" s="4" t="s">
        <v>162</v>
      </c>
      <c r="B63" s="5" t="s">
        <v>219</v>
      </c>
      <c r="C63" s="5" t="s">
        <v>219</v>
      </c>
      <c r="D63" s="5">
        <v>77981354705</v>
      </c>
      <c r="N63" s="6"/>
    </row>
    <row r="64" spans="1:14" ht="15.75" customHeight="1">
      <c r="A64" s="4" t="s">
        <v>163</v>
      </c>
      <c r="B64" s="5" t="s">
        <v>176</v>
      </c>
      <c r="C64" s="5" t="s">
        <v>176</v>
      </c>
      <c r="D64" s="5">
        <v>77982094292</v>
      </c>
      <c r="N64" s="6"/>
    </row>
    <row r="65" spans="1:14" ht="15.75" customHeight="1">
      <c r="A65" s="4" t="s">
        <v>132</v>
      </c>
      <c r="B65" s="5" t="s">
        <v>221</v>
      </c>
      <c r="C65" s="5" t="s">
        <v>221</v>
      </c>
      <c r="D65" s="5">
        <v>77981132082</v>
      </c>
      <c r="N65" s="6"/>
    </row>
    <row r="66" spans="1:14" ht="15.75" customHeight="1">
      <c r="A66" s="4" t="s">
        <v>134</v>
      </c>
      <c r="B66" s="5" t="s">
        <v>164</v>
      </c>
      <c r="C66" s="5" t="s">
        <v>164</v>
      </c>
      <c r="D66" s="5">
        <v>77988655231</v>
      </c>
      <c r="N66" s="6"/>
    </row>
    <row r="67" spans="1:14" ht="15.75" customHeight="1">
      <c r="A67" s="4" t="s">
        <v>165</v>
      </c>
      <c r="B67" s="5" t="s">
        <v>239</v>
      </c>
      <c r="C67" s="5" t="s">
        <v>239</v>
      </c>
      <c r="D67" s="5">
        <v>77981419111</v>
      </c>
      <c r="N67" s="6"/>
    </row>
    <row r="68" spans="1:14" ht="15.75" customHeight="1">
      <c r="A68" s="4" t="s">
        <v>166</v>
      </c>
      <c r="B68" s="5" t="s">
        <v>212</v>
      </c>
      <c r="C68" s="5" t="s">
        <v>215</v>
      </c>
      <c r="D68" s="5">
        <v>77988222073</v>
      </c>
      <c r="N68" s="6"/>
    </row>
    <row r="69" spans="1:14" ht="15.75" customHeight="1">
      <c r="A69" s="4" t="s">
        <v>167</v>
      </c>
      <c r="B69" s="5" t="s">
        <v>217</v>
      </c>
      <c r="C69" s="5" t="s">
        <v>217</v>
      </c>
      <c r="D69" s="5">
        <v>77998184567</v>
      </c>
      <c r="N69" s="6"/>
    </row>
    <row r="70" spans="1:14" ht="15.75" customHeight="1">
      <c r="A70" s="73" t="s">
        <v>168</v>
      </c>
      <c r="B70" s="74" t="s">
        <v>216</v>
      </c>
      <c r="C70" s="74" t="s">
        <v>216</v>
      </c>
      <c r="D70" s="74">
        <v>7799457667</v>
      </c>
      <c r="N70" s="6"/>
    </row>
    <row r="71" spans="1:14" ht="15.75" customHeight="1">
      <c r="A71" s="4" t="s">
        <v>137</v>
      </c>
      <c r="B71" s="5" t="s">
        <v>228</v>
      </c>
      <c r="C71" s="5" t="s">
        <v>228</v>
      </c>
      <c r="D71" s="115">
        <v>77998555879</v>
      </c>
    </row>
    <row r="72" spans="1:14" ht="15.75" customHeight="1">
      <c r="A72" s="73" t="s">
        <v>169</v>
      </c>
      <c r="B72" s="74" t="s">
        <v>217</v>
      </c>
      <c r="C72" s="74" t="s">
        <v>217</v>
      </c>
      <c r="D72" s="237">
        <v>77998184567</v>
      </c>
    </row>
    <row r="73" spans="1:14" ht="15.75" customHeight="1">
      <c r="A73" s="238" t="s">
        <v>257</v>
      </c>
      <c r="B73" s="115" t="s">
        <v>217</v>
      </c>
      <c r="C73" s="115" t="s">
        <v>217</v>
      </c>
      <c r="D73" s="115">
        <v>77998184567</v>
      </c>
    </row>
    <row r="74" spans="1:14" ht="15.75" customHeight="1"/>
    <row r="75" spans="1:14" ht="15.75" customHeight="1"/>
    <row r="76" spans="1:14" ht="15.75" customHeight="1"/>
    <row r="77" spans="1:14" ht="15.75" customHeight="1"/>
    <row r="78" spans="1:14" ht="15.75" customHeight="1"/>
    <row r="79" spans="1:14" ht="15.75" customHeight="1"/>
    <row r="80" spans="1:14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autoFilter ref="A1:D70" xr:uid="{00000000-0009-0000-0000-000003000000}">
    <sortState xmlns:xlrd2="http://schemas.microsoft.com/office/spreadsheetml/2017/richdata2" ref="A2:D72">
      <sortCondition ref="A1:A70"/>
    </sortState>
  </autoFilter>
  <pageMargins left="0.511811024" right="0.511811024" top="0.78740157499999996" bottom="0.78740157499999996" header="0" footer="0"/>
  <pageSetup paperSize="9" scale="36" orientation="portrait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>
    <pageSetUpPr fitToPage="1"/>
  </sheetPr>
  <dimension ref="A1:J338"/>
  <sheetViews>
    <sheetView zoomScale="70" zoomScaleNormal="70" workbookViewId="0">
      <selection activeCell="F7" sqref="F7"/>
    </sheetView>
  </sheetViews>
  <sheetFormatPr defaultColWidth="9" defaultRowHeight="15"/>
  <cols>
    <col min="1" max="1" width="9" style="82"/>
    <col min="2" max="2" width="24.28515625" style="103" customWidth="1"/>
    <col min="3" max="3" width="33.7109375" style="82" customWidth="1"/>
    <col min="4" max="4" width="12.5703125" style="82" customWidth="1"/>
    <col min="5" max="5" width="16" style="82" customWidth="1"/>
    <col min="6" max="6" width="46" style="82" customWidth="1"/>
    <col min="7" max="7" width="29.85546875" style="82" customWidth="1"/>
    <col min="8" max="8" width="25.7109375" style="82" customWidth="1"/>
    <col min="9" max="9" width="9" style="82"/>
    <col min="10" max="10" width="10.28515625" style="82" customWidth="1"/>
    <col min="11" max="16384" width="9" style="82"/>
  </cols>
  <sheetData>
    <row r="1" spans="1:10" ht="31.5">
      <c r="A1" s="205" t="s">
        <v>189</v>
      </c>
      <c r="B1" s="206"/>
      <c r="C1" s="206"/>
      <c r="D1" s="206"/>
      <c r="E1" s="206"/>
      <c r="F1" s="206"/>
      <c r="G1" s="206"/>
      <c r="H1" s="207"/>
    </row>
    <row r="2" spans="1:10" ht="18.75">
      <c r="A2" s="208" t="s">
        <v>190</v>
      </c>
      <c r="B2" s="209"/>
      <c r="C2" s="209"/>
      <c r="D2" s="210" t="s">
        <v>191</v>
      </c>
      <c r="E2" s="210"/>
      <c r="F2" s="210"/>
      <c r="G2" s="211"/>
      <c r="H2" s="212"/>
    </row>
    <row r="3" spans="1:10" ht="27" customHeight="1">
      <c r="A3" s="213"/>
      <c r="B3" s="214"/>
      <c r="C3" s="215" t="s">
        <v>192</v>
      </c>
      <c r="D3" s="217">
        <f ca="1">NOW()</f>
        <v>46146.993013078703</v>
      </c>
      <c r="E3" s="218"/>
      <c r="F3" s="83" t="s">
        <v>193</v>
      </c>
      <c r="G3" s="221" t="s">
        <v>177</v>
      </c>
      <c r="H3" s="222"/>
    </row>
    <row r="4" spans="1:10" ht="27" customHeight="1">
      <c r="A4" s="213"/>
      <c r="B4" s="214"/>
      <c r="C4" s="216"/>
      <c r="D4" s="219"/>
      <c r="E4" s="220"/>
      <c r="F4" s="83" t="s">
        <v>194</v>
      </c>
      <c r="G4" s="210" t="str">
        <f>IFERROR(INDEX(BD!B:B,MATCH('VIVO MEDSIL'!F7,BD!A:A,0)),"")</f>
        <v>VANDERLI TEIXEIRA DA ROCHA</v>
      </c>
      <c r="H4" s="223" t="str">
        <f>IFERROR(INDEX(BD!B:B,MATCH(MOTORISTA!G4,BD!A:A,0)),"")</f>
        <v/>
      </c>
    </row>
    <row r="5" spans="1:10" ht="27" customHeight="1">
      <c r="A5" s="213"/>
      <c r="B5" s="214"/>
      <c r="C5" s="84" t="s">
        <v>195</v>
      </c>
      <c r="D5" s="224">
        <f>D24*3</f>
        <v>12</v>
      </c>
      <c r="E5" s="225"/>
      <c r="F5" s="83" t="s">
        <v>8</v>
      </c>
      <c r="G5" s="226">
        <f>IFERROR(VLOOKUP(G4,BD!B:D,3,0),"")</f>
        <v>77981132082</v>
      </c>
      <c r="H5" s="227" t="str">
        <f>IFERROR(VLOOKUP(H4,BD!F:G,2,0),"")</f>
        <v/>
      </c>
    </row>
    <row r="6" spans="1:10" ht="23.25" customHeight="1">
      <c r="A6" s="228" t="s">
        <v>196</v>
      </c>
      <c r="B6" s="229"/>
      <c r="C6" s="85" t="s">
        <v>197</v>
      </c>
      <c r="D6" s="85" t="s">
        <v>198</v>
      </c>
      <c r="E6" s="85" t="s">
        <v>199</v>
      </c>
      <c r="F6" s="85" t="s">
        <v>200</v>
      </c>
      <c r="G6" s="85" t="s">
        <v>77</v>
      </c>
      <c r="H6" s="85" t="s">
        <v>76</v>
      </c>
    </row>
    <row r="7" spans="1:10" s="90" customFormat="1" ht="24.75" customHeight="1">
      <c r="A7" s="193" t="s">
        <v>100</v>
      </c>
      <c r="B7" s="194"/>
      <c r="C7" s="86">
        <v>174963</v>
      </c>
      <c r="D7" s="87">
        <v>1</v>
      </c>
      <c r="E7" s="87">
        <v>1</v>
      </c>
      <c r="F7" s="88" t="s">
        <v>113</v>
      </c>
      <c r="G7" s="28" t="s">
        <v>111</v>
      </c>
      <c r="H7" s="89">
        <f>IFERROR(VLOOKUP(G7,BD!G:H,2,0),"")</f>
        <v>77981318486</v>
      </c>
    </row>
    <row r="8" spans="1:10" ht="24.75" customHeight="1">
      <c r="A8" s="193" t="s">
        <v>100</v>
      </c>
      <c r="B8" s="194"/>
      <c r="C8" s="86">
        <v>15909</v>
      </c>
      <c r="D8" s="87">
        <v>3</v>
      </c>
      <c r="E8" s="87">
        <v>1</v>
      </c>
      <c r="F8" s="88" t="s">
        <v>88</v>
      </c>
      <c r="G8" s="28" t="s">
        <v>111</v>
      </c>
      <c r="H8" s="89">
        <f>IFERROR(VLOOKUP(G8,BD!G:H,2,0),"")</f>
        <v>77981318486</v>
      </c>
    </row>
    <row r="9" spans="1:10" ht="24.75" customHeight="1">
      <c r="A9" s="193"/>
      <c r="B9" s="194"/>
      <c r="C9" s="86"/>
      <c r="D9" s="87"/>
      <c r="E9" s="87"/>
      <c r="F9" s="88"/>
      <c r="G9" s="28"/>
      <c r="H9" s="89" t="str">
        <f>IFERROR(VLOOKUP(G9,BD!G:H,2,0),"")</f>
        <v/>
      </c>
      <c r="J9" s="91"/>
    </row>
    <row r="10" spans="1:10" ht="24.75" customHeight="1">
      <c r="A10" s="193"/>
      <c r="B10" s="194"/>
      <c r="C10" s="86"/>
      <c r="D10" s="87"/>
      <c r="E10" s="87"/>
      <c r="F10" s="88"/>
      <c r="G10" s="28"/>
      <c r="H10" s="89"/>
      <c r="J10" s="91"/>
    </row>
    <row r="11" spans="1:10" ht="24.75" customHeight="1">
      <c r="A11" s="193"/>
      <c r="B11" s="194"/>
      <c r="C11" s="86"/>
      <c r="D11" s="87"/>
      <c r="E11" s="87"/>
      <c r="F11" s="88"/>
      <c r="G11" s="28"/>
      <c r="H11" s="89"/>
      <c r="J11" s="91"/>
    </row>
    <row r="12" spans="1:10" ht="24.75" customHeight="1">
      <c r="A12" s="193"/>
      <c r="B12" s="194"/>
      <c r="C12" s="86"/>
      <c r="D12" s="87"/>
      <c r="E12" s="87"/>
      <c r="F12" s="88"/>
      <c r="G12" s="28"/>
      <c r="H12" s="89"/>
      <c r="J12" s="91"/>
    </row>
    <row r="13" spans="1:10" ht="24.75" customHeight="1">
      <c r="A13" s="193"/>
      <c r="B13" s="194"/>
      <c r="C13" s="86"/>
      <c r="D13" s="87"/>
      <c r="E13" s="87"/>
      <c r="F13" s="88"/>
      <c r="G13" s="28"/>
      <c r="H13" s="89"/>
      <c r="J13" s="91"/>
    </row>
    <row r="14" spans="1:10" ht="24.75" customHeight="1">
      <c r="A14" s="193"/>
      <c r="B14" s="194"/>
      <c r="C14" s="86"/>
      <c r="D14" s="87"/>
      <c r="E14" s="87"/>
      <c r="F14" s="88"/>
      <c r="G14" s="28" t="str">
        <f>IFERROR(INDEX(BD!A:A,MATCH(MOTORISTA!F13,BD!#REF!,0)),"")</f>
        <v/>
      </c>
      <c r="H14" s="89" t="str">
        <f>IFERROR(VLOOKUP(G14,BD!G:H,2,0),"")</f>
        <v/>
      </c>
      <c r="J14" s="91"/>
    </row>
    <row r="15" spans="1:10" ht="24.75" customHeight="1">
      <c r="A15" s="193"/>
      <c r="B15" s="194"/>
      <c r="C15" s="86"/>
      <c r="D15" s="87"/>
      <c r="E15" s="87"/>
      <c r="F15" s="88"/>
      <c r="G15" s="28" t="str">
        <f>IFERROR(INDEX(BD!A:A,MATCH(MOTORISTA!F14,BD!#REF!,0)),"")</f>
        <v/>
      </c>
      <c r="H15" s="89" t="str">
        <f>IFERROR(VLOOKUP(G15,BD!G:H,2,0),"")</f>
        <v/>
      </c>
      <c r="J15" s="91"/>
    </row>
    <row r="16" spans="1:10" ht="24.75" customHeight="1">
      <c r="A16" s="193"/>
      <c r="B16" s="194"/>
      <c r="C16" s="86"/>
      <c r="D16" s="87"/>
      <c r="E16" s="87"/>
      <c r="F16" s="88"/>
      <c r="G16" s="28" t="str">
        <f>IFERROR(INDEX(BD!A:A,MATCH(MOTORISTA!F15,BD!#REF!,0)),"")</f>
        <v/>
      </c>
      <c r="H16" s="89" t="str">
        <f>IFERROR(VLOOKUP(G16,BD!G:H,2,0),"")</f>
        <v/>
      </c>
      <c r="J16" s="91"/>
    </row>
    <row r="17" spans="1:10" ht="24.75" customHeight="1">
      <c r="A17" s="193"/>
      <c r="B17" s="194"/>
      <c r="C17" s="86"/>
      <c r="D17" s="87"/>
      <c r="E17" s="87"/>
      <c r="F17" s="88"/>
      <c r="G17" s="28" t="str">
        <f>IFERROR(INDEX(BD!A:A,MATCH(MOTORISTA!F16,BD!#REF!,0)),"")</f>
        <v/>
      </c>
      <c r="H17" s="89" t="str">
        <f>IFERROR(VLOOKUP(G17,BD!G:H,2,0),"")</f>
        <v/>
      </c>
      <c r="J17" s="91"/>
    </row>
    <row r="18" spans="1:10" ht="24.75" customHeight="1">
      <c r="A18" s="193"/>
      <c r="B18" s="194"/>
      <c r="C18" s="86"/>
      <c r="D18" s="87"/>
      <c r="E18" s="87"/>
      <c r="F18" s="88"/>
      <c r="G18" s="28" t="str">
        <f>IFERROR(INDEX(BD!A:A,MATCH(MOTORISTA!F17,BD!#REF!,0)),"")</f>
        <v/>
      </c>
      <c r="H18" s="89" t="str">
        <f>IFERROR(VLOOKUP(G18,BD!G:H,2,0),"")</f>
        <v/>
      </c>
      <c r="J18" s="91"/>
    </row>
    <row r="19" spans="1:10" ht="24.75" customHeight="1">
      <c r="A19" s="193"/>
      <c r="B19" s="194"/>
      <c r="C19" s="86"/>
      <c r="D19" s="87"/>
      <c r="E19" s="87"/>
      <c r="F19" s="88"/>
      <c r="G19" s="28" t="str">
        <f>IFERROR(INDEX(BD!A:A,MATCH(MOTORISTA!F18,BD!#REF!,0)),"")</f>
        <v/>
      </c>
      <c r="H19" s="89" t="str">
        <f>IFERROR(VLOOKUP(G19,BD!G:H,2,0),"")</f>
        <v/>
      </c>
      <c r="J19" s="92"/>
    </row>
    <row r="20" spans="1:10" ht="24.75" customHeight="1">
      <c r="A20" s="193"/>
      <c r="B20" s="194"/>
      <c r="C20" s="86"/>
      <c r="D20" s="87"/>
      <c r="E20" s="87"/>
      <c r="F20" s="88"/>
      <c r="G20" s="28" t="str">
        <f>IFERROR(INDEX(BD!A:A,MATCH(MOTORISTA!F19,BD!#REF!,0)),"")</f>
        <v/>
      </c>
      <c r="H20" s="89" t="str">
        <f>IFERROR(VLOOKUP(G20,BD!G:H,2,0),"")</f>
        <v/>
      </c>
    </row>
    <row r="21" spans="1:10" ht="24.75" customHeight="1">
      <c r="A21" s="193"/>
      <c r="B21" s="194"/>
      <c r="C21" s="86"/>
      <c r="D21" s="87"/>
      <c r="E21" s="87"/>
      <c r="F21" s="88"/>
      <c r="G21" s="28" t="str">
        <f>IFERROR(INDEX(BD!A:A,MATCH(MOTORISTA!F20,BD!#REF!,0)),"")</f>
        <v/>
      </c>
      <c r="H21" s="89" t="str">
        <f>IFERROR(VLOOKUP(G21,BD!G:H,2,0),"")</f>
        <v/>
      </c>
    </row>
    <row r="22" spans="1:10" ht="24.75" customHeight="1">
      <c r="A22" s="193"/>
      <c r="B22" s="194"/>
      <c r="C22" s="86"/>
      <c r="D22" s="87"/>
      <c r="E22" s="87"/>
      <c r="F22" s="88"/>
      <c r="G22" s="28" t="str">
        <f>IFERROR(INDEX(BD!A:A,MATCH(MOTORISTA!F21,BD!#REF!,0)),"")</f>
        <v/>
      </c>
      <c r="H22" s="89" t="str">
        <f>IFERROR(VLOOKUP(G22,BD!G:H,2,0),"")</f>
        <v/>
      </c>
    </row>
    <row r="23" spans="1:10" ht="24.75" customHeight="1">
      <c r="A23" s="193"/>
      <c r="B23" s="194"/>
      <c r="C23" s="86"/>
      <c r="D23" s="87"/>
      <c r="E23" s="87"/>
      <c r="F23" s="88"/>
      <c r="G23" s="28" t="str">
        <f>IFERROR(INDEX(BD!A:A,MATCH(MOTORISTA!F22,BD!#REF!,0)),"")</f>
        <v/>
      </c>
      <c r="H23" s="89" t="str">
        <f>IFERROR(VLOOKUP(G23,BD!G:H,2,0),"")</f>
        <v/>
      </c>
    </row>
    <row r="24" spans="1:10" ht="28.5" customHeight="1">
      <c r="A24" s="195" t="s">
        <v>188</v>
      </c>
      <c r="B24" s="196"/>
      <c r="C24" s="197"/>
      <c r="D24" s="93">
        <f>SUM(D7:D23)</f>
        <v>4</v>
      </c>
      <c r="E24" s="93">
        <f>SUM(E7:E23)</f>
        <v>2</v>
      </c>
      <c r="F24" s="198" t="s">
        <v>201</v>
      </c>
      <c r="G24" s="199"/>
      <c r="H24" s="200"/>
    </row>
    <row r="25" spans="1:10" ht="28.5" customHeight="1">
      <c r="A25" s="201"/>
      <c r="B25" s="202"/>
      <c r="C25" s="94"/>
      <c r="D25" s="95"/>
      <c r="E25" s="95"/>
      <c r="F25" s="95"/>
      <c r="G25" s="96"/>
      <c r="H25" s="97"/>
    </row>
    <row r="26" spans="1:10" ht="28.5" customHeight="1">
      <c r="A26" s="98"/>
      <c r="B26" s="99"/>
      <c r="C26" s="95"/>
      <c r="D26" s="95"/>
      <c r="E26" s="96" t="s">
        <v>202</v>
      </c>
      <c r="F26" s="95"/>
      <c r="G26" s="203"/>
      <c r="H26" s="204"/>
    </row>
    <row r="27" spans="1:10" ht="28.5" customHeight="1">
      <c r="A27" s="100" t="s">
        <v>203</v>
      </c>
      <c r="B27" s="101"/>
      <c r="C27" s="101"/>
      <c r="D27" s="101"/>
      <c r="E27" s="101"/>
      <c r="F27" s="101"/>
      <c r="G27" s="101"/>
      <c r="H27" s="102"/>
    </row>
    <row r="28" spans="1:10" ht="28.5" customHeight="1">
      <c r="A28" s="184"/>
      <c r="B28" s="185"/>
      <c r="C28" s="185"/>
      <c r="D28" s="185"/>
      <c r="E28" s="185"/>
      <c r="F28" s="185"/>
      <c r="G28" s="185"/>
      <c r="H28" s="186"/>
    </row>
    <row r="29" spans="1:10" ht="28.5" customHeight="1">
      <c r="A29" s="187"/>
      <c r="B29" s="188"/>
      <c r="C29" s="188"/>
      <c r="D29" s="188"/>
      <c r="E29" s="188"/>
      <c r="F29" s="188"/>
      <c r="G29" s="188"/>
      <c r="H29" s="189"/>
    </row>
    <row r="30" spans="1:10" ht="28.5" customHeight="1">
      <c r="A30" s="187"/>
      <c r="B30" s="188"/>
      <c r="C30" s="188"/>
      <c r="D30" s="188"/>
      <c r="E30" s="188"/>
      <c r="F30" s="188"/>
      <c r="G30" s="188"/>
      <c r="H30" s="189"/>
    </row>
    <row r="31" spans="1:10" ht="28.5" customHeight="1">
      <c r="A31" s="187"/>
      <c r="B31" s="188"/>
      <c r="C31" s="188"/>
      <c r="D31" s="188"/>
      <c r="E31" s="188"/>
      <c r="F31" s="188"/>
      <c r="G31" s="188"/>
      <c r="H31" s="189"/>
    </row>
    <row r="32" spans="1:10" ht="28.5" customHeight="1">
      <c r="A32" s="187"/>
      <c r="B32" s="188"/>
      <c r="C32" s="188"/>
      <c r="D32" s="188"/>
      <c r="E32" s="188"/>
      <c r="F32" s="188"/>
      <c r="G32" s="188"/>
      <c r="H32" s="189"/>
    </row>
    <row r="33" spans="1:8" ht="28.5" customHeight="1">
      <c r="A33" s="187"/>
      <c r="B33" s="188"/>
      <c r="C33" s="188"/>
      <c r="D33" s="188"/>
      <c r="E33" s="188"/>
      <c r="F33" s="188"/>
      <c r="G33" s="188"/>
      <c r="H33" s="189"/>
    </row>
    <row r="34" spans="1:8" ht="28.5" customHeight="1" thickBot="1">
      <c r="A34" s="190"/>
      <c r="B34" s="191"/>
      <c r="C34" s="191"/>
      <c r="D34" s="191"/>
      <c r="E34" s="191"/>
      <c r="F34" s="191"/>
      <c r="G34" s="191"/>
      <c r="H34" s="192"/>
    </row>
    <row r="35" spans="1:8">
      <c r="B35" s="82"/>
    </row>
    <row r="36" spans="1:8">
      <c r="B36" s="82"/>
    </row>
    <row r="37" spans="1:8">
      <c r="B37" s="82"/>
    </row>
    <row r="38" spans="1:8">
      <c r="B38" s="82"/>
    </row>
    <row r="39" spans="1:8">
      <c r="B39" s="82"/>
    </row>
    <row r="40" spans="1:8">
      <c r="B40" s="82"/>
    </row>
    <row r="41" spans="1:8">
      <c r="B41" s="82"/>
    </row>
    <row r="42" spans="1:8">
      <c r="B42" s="82"/>
    </row>
    <row r="43" spans="1:8">
      <c r="B43" s="82"/>
    </row>
    <row r="44" spans="1:8">
      <c r="B44" s="82"/>
    </row>
    <row r="45" spans="1:8">
      <c r="B45" s="82"/>
    </row>
    <row r="46" spans="1:8">
      <c r="B46" s="82"/>
    </row>
    <row r="47" spans="1:8">
      <c r="B47" s="82"/>
    </row>
    <row r="48" spans="1:8">
      <c r="B48" s="82"/>
    </row>
    <row r="49" spans="2:2">
      <c r="B49" s="82"/>
    </row>
    <row r="50" spans="2:2">
      <c r="B50" s="82"/>
    </row>
    <row r="51" spans="2:2">
      <c r="B51" s="82"/>
    </row>
    <row r="52" spans="2:2">
      <c r="B52" s="82"/>
    </row>
    <row r="53" spans="2:2">
      <c r="B53" s="82"/>
    </row>
    <row r="54" spans="2:2">
      <c r="B54" s="82"/>
    </row>
    <row r="55" spans="2:2">
      <c r="B55" s="82"/>
    </row>
    <row r="56" spans="2:2">
      <c r="B56" s="82"/>
    </row>
    <row r="57" spans="2:2">
      <c r="B57" s="82"/>
    </row>
    <row r="58" spans="2:2">
      <c r="B58" s="82"/>
    </row>
    <row r="59" spans="2:2">
      <c r="B59" s="82"/>
    </row>
    <row r="60" spans="2:2">
      <c r="B60" s="82"/>
    </row>
    <row r="61" spans="2:2">
      <c r="B61" s="82"/>
    </row>
    <row r="62" spans="2:2">
      <c r="B62" s="82"/>
    </row>
    <row r="63" spans="2:2">
      <c r="B63" s="82"/>
    </row>
    <row r="64" spans="2:2">
      <c r="B64" s="82"/>
    </row>
    <row r="65" spans="2:2">
      <c r="B65" s="82"/>
    </row>
    <row r="66" spans="2:2">
      <c r="B66" s="82"/>
    </row>
    <row r="67" spans="2:2">
      <c r="B67" s="82"/>
    </row>
    <row r="68" spans="2:2">
      <c r="B68" s="82"/>
    </row>
    <row r="69" spans="2:2">
      <c r="B69" s="82"/>
    </row>
    <row r="70" spans="2:2">
      <c r="B70" s="82"/>
    </row>
    <row r="71" spans="2:2">
      <c r="B71" s="82"/>
    </row>
    <row r="72" spans="2:2">
      <c r="B72" s="82"/>
    </row>
    <row r="73" spans="2:2">
      <c r="B73" s="82"/>
    </row>
    <row r="74" spans="2:2">
      <c r="B74" s="82"/>
    </row>
    <row r="75" spans="2:2">
      <c r="B75" s="82"/>
    </row>
    <row r="76" spans="2:2">
      <c r="B76" s="82"/>
    </row>
    <row r="77" spans="2:2">
      <c r="B77" s="82"/>
    </row>
    <row r="78" spans="2:2">
      <c r="B78" s="82"/>
    </row>
    <row r="79" spans="2:2">
      <c r="B79" s="82"/>
    </row>
    <row r="80" spans="2:2">
      <c r="B80" s="82"/>
    </row>
    <row r="81" spans="2:2">
      <c r="B81" s="82"/>
    </row>
    <row r="82" spans="2:2">
      <c r="B82" s="82"/>
    </row>
    <row r="83" spans="2:2">
      <c r="B83" s="82"/>
    </row>
    <row r="84" spans="2:2">
      <c r="B84" s="82"/>
    </row>
    <row r="85" spans="2:2">
      <c r="B85" s="82"/>
    </row>
    <row r="86" spans="2:2">
      <c r="B86" s="82"/>
    </row>
    <row r="87" spans="2:2">
      <c r="B87" s="82"/>
    </row>
    <row r="88" spans="2:2">
      <c r="B88" s="82"/>
    </row>
    <row r="89" spans="2:2">
      <c r="B89" s="82"/>
    </row>
    <row r="90" spans="2:2">
      <c r="B90" s="82"/>
    </row>
    <row r="91" spans="2:2">
      <c r="B91" s="82"/>
    </row>
    <row r="92" spans="2:2">
      <c r="B92" s="82"/>
    </row>
    <row r="93" spans="2:2">
      <c r="B93" s="82"/>
    </row>
    <row r="94" spans="2:2">
      <c r="B94" s="82"/>
    </row>
    <row r="95" spans="2:2">
      <c r="B95" s="82"/>
    </row>
    <row r="96" spans="2:2">
      <c r="B96" s="82"/>
    </row>
    <row r="97" spans="2:2">
      <c r="B97" s="82"/>
    </row>
    <row r="98" spans="2:2">
      <c r="B98" s="82"/>
    </row>
    <row r="99" spans="2:2">
      <c r="B99" s="82"/>
    </row>
    <row r="100" spans="2:2">
      <c r="B100" s="82"/>
    </row>
    <row r="101" spans="2:2">
      <c r="B101" s="82"/>
    </row>
    <row r="102" spans="2:2">
      <c r="B102" s="82"/>
    </row>
    <row r="103" spans="2:2">
      <c r="B103" s="82"/>
    </row>
    <row r="104" spans="2:2">
      <c r="B104" s="82"/>
    </row>
    <row r="105" spans="2:2">
      <c r="B105" s="82"/>
    </row>
    <row r="106" spans="2:2">
      <c r="B106" s="82"/>
    </row>
    <row r="107" spans="2:2">
      <c r="B107" s="82"/>
    </row>
    <row r="108" spans="2:2">
      <c r="B108" s="82"/>
    </row>
    <row r="109" spans="2:2">
      <c r="B109" s="82"/>
    </row>
    <row r="110" spans="2:2">
      <c r="B110" s="82"/>
    </row>
    <row r="111" spans="2:2">
      <c r="B111" s="82"/>
    </row>
    <row r="112" spans="2:2">
      <c r="B112" s="82"/>
    </row>
    <row r="113" spans="2:2">
      <c r="B113" s="82"/>
    </row>
    <row r="114" spans="2:2">
      <c r="B114" s="82"/>
    </row>
    <row r="115" spans="2:2">
      <c r="B115" s="82"/>
    </row>
    <row r="116" spans="2:2">
      <c r="B116" s="82"/>
    </row>
    <row r="117" spans="2:2">
      <c r="B117" s="82"/>
    </row>
    <row r="118" spans="2:2">
      <c r="B118" s="82"/>
    </row>
    <row r="119" spans="2:2">
      <c r="B119" s="82"/>
    </row>
    <row r="120" spans="2:2">
      <c r="B120" s="82"/>
    </row>
    <row r="121" spans="2:2">
      <c r="B121" s="82"/>
    </row>
    <row r="122" spans="2:2">
      <c r="B122" s="82"/>
    </row>
    <row r="123" spans="2:2">
      <c r="B123" s="82"/>
    </row>
    <row r="124" spans="2:2">
      <c r="B124" s="82"/>
    </row>
    <row r="125" spans="2:2">
      <c r="B125" s="82"/>
    </row>
    <row r="126" spans="2:2">
      <c r="B126" s="82"/>
    </row>
    <row r="127" spans="2:2">
      <c r="B127" s="82"/>
    </row>
    <row r="128" spans="2:2">
      <c r="B128" s="82"/>
    </row>
    <row r="129" spans="2:2">
      <c r="B129" s="82"/>
    </row>
    <row r="130" spans="2:2">
      <c r="B130" s="82"/>
    </row>
    <row r="131" spans="2:2">
      <c r="B131" s="82"/>
    </row>
    <row r="132" spans="2:2">
      <c r="B132" s="82"/>
    </row>
    <row r="133" spans="2:2">
      <c r="B133" s="82"/>
    </row>
    <row r="134" spans="2:2">
      <c r="B134" s="82"/>
    </row>
    <row r="135" spans="2:2">
      <c r="B135" s="82"/>
    </row>
    <row r="136" spans="2:2">
      <c r="B136" s="82"/>
    </row>
    <row r="137" spans="2:2">
      <c r="B137" s="82"/>
    </row>
    <row r="138" spans="2:2">
      <c r="B138" s="82"/>
    </row>
    <row r="139" spans="2:2">
      <c r="B139" s="82"/>
    </row>
    <row r="140" spans="2:2">
      <c r="B140" s="82"/>
    </row>
    <row r="141" spans="2:2">
      <c r="B141" s="82"/>
    </row>
    <row r="142" spans="2:2">
      <c r="B142" s="82"/>
    </row>
    <row r="143" spans="2:2">
      <c r="B143" s="82"/>
    </row>
    <row r="144" spans="2:2">
      <c r="B144" s="82"/>
    </row>
    <row r="145" spans="2:2">
      <c r="B145" s="82"/>
    </row>
    <row r="146" spans="2:2">
      <c r="B146" s="82"/>
    </row>
    <row r="147" spans="2:2">
      <c r="B147" s="82"/>
    </row>
    <row r="148" spans="2:2">
      <c r="B148" s="82"/>
    </row>
    <row r="149" spans="2:2">
      <c r="B149" s="82"/>
    </row>
    <row r="150" spans="2:2">
      <c r="B150" s="82"/>
    </row>
    <row r="151" spans="2:2">
      <c r="B151" s="82"/>
    </row>
    <row r="152" spans="2:2">
      <c r="B152" s="82"/>
    </row>
    <row r="153" spans="2:2">
      <c r="B153" s="82"/>
    </row>
    <row r="154" spans="2:2">
      <c r="B154" s="82"/>
    </row>
    <row r="155" spans="2:2">
      <c r="B155" s="82"/>
    </row>
    <row r="156" spans="2:2">
      <c r="B156" s="82"/>
    </row>
    <row r="157" spans="2:2">
      <c r="B157" s="82"/>
    </row>
    <row r="158" spans="2:2">
      <c r="B158" s="82"/>
    </row>
    <row r="159" spans="2:2">
      <c r="B159" s="82"/>
    </row>
    <row r="160" spans="2:2">
      <c r="B160" s="82"/>
    </row>
    <row r="161" spans="2:2">
      <c r="B161" s="82"/>
    </row>
    <row r="162" spans="2:2">
      <c r="B162" s="82"/>
    </row>
    <row r="163" spans="2:2">
      <c r="B163" s="82"/>
    </row>
    <row r="164" spans="2:2">
      <c r="B164" s="82"/>
    </row>
    <row r="165" spans="2:2">
      <c r="B165" s="82"/>
    </row>
    <row r="166" spans="2:2">
      <c r="B166" s="82"/>
    </row>
    <row r="167" spans="2:2">
      <c r="B167" s="82"/>
    </row>
    <row r="168" spans="2:2">
      <c r="B168" s="82"/>
    </row>
    <row r="169" spans="2:2">
      <c r="B169" s="82"/>
    </row>
    <row r="170" spans="2:2">
      <c r="B170" s="82"/>
    </row>
    <row r="171" spans="2:2">
      <c r="B171" s="82"/>
    </row>
    <row r="172" spans="2:2">
      <c r="B172" s="82"/>
    </row>
    <row r="173" spans="2:2">
      <c r="B173" s="82"/>
    </row>
    <row r="174" spans="2:2">
      <c r="B174" s="82"/>
    </row>
    <row r="175" spans="2:2">
      <c r="B175" s="82"/>
    </row>
    <row r="176" spans="2:2">
      <c r="B176" s="82"/>
    </row>
    <row r="177" spans="2:2">
      <c r="B177" s="82"/>
    </row>
    <row r="178" spans="2:2">
      <c r="B178" s="82"/>
    </row>
    <row r="179" spans="2:2">
      <c r="B179" s="82"/>
    </row>
    <row r="180" spans="2:2">
      <c r="B180" s="82"/>
    </row>
    <row r="181" spans="2:2">
      <c r="B181" s="82"/>
    </row>
    <row r="182" spans="2:2">
      <c r="B182" s="82"/>
    </row>
    <row r="183" spans="2:2">
      <c r="B183" s="82"/>
    </row>
    <row r="184" spans="2:2">
      <c r="B184" s="82"/>
    </row>
    <row r="185" spans="2:2">
      <c r="B185" s="82"/>
    </row>
    <row r="186" spans="2:2">
      <c r="B186" s="82"/>
    </row>
    <row r="187" spans="2:2">
      <c r="B187" s="82"/>
    </row>
    <row r="188" spans="2:2">
      <c r="B188" s="82"/>
    </row>
    <row r="189" spans="2:2">
      <c r="B189" s="82"/>
    </row>
    <row r="190" spans="2:2">
      <c r="B190" s="82"/>
    </row>
    <row r="191" spans="2:2">
      <c r="B191" s="82"/>
    </row>
    <row r="192" spans="2:2">
      <c r="B192" s="82"/>
    </row>
    <row r="193" spans="2:2">
      <c r="B193" s="82"/>
    </row>
    <row r="194" spans="2:2">
      <c r="B194" s="82"/>
    </row>
    <row r="195" spans="2:2">
      <c r="B195" s="82"/>
    </row>
    <row r="196" spans="2:2">
      <c r="B196" s="82"/>
    </row>
    <row r="197" spans="2:2">
      <c r="B197" s="82"/>
    </row>
    <row r="198" spans="2:2">
      <c r="B198" s="82"/>
    </row>
    <row r="199" spans="2:2">
      <c r="B199" s="82"/>
    </row>
    <row r="200" spans="2:2">
      <c r="B200" s="82"/>
    </row>
    <row r="201" spans="2:2">
      <c r="B201" s="82"/>
    </row>
    <row r="202" spans="2:2">
      <c r="B202" s="82"/>
    </row>
    <row r="203" spans="2:2">
      <c r="B203" s="82"/>
    </row>
    <row r="204" spans="2:2">
      <c r="B204" s="82"/>
    </row>
    <row r="205" spans="2:2">
      <c r="B205" s="82"/>
    </row>
    <row r="206" spans="2:2">
      <c r="B206" s="82"/>
    </row>
    <row r="207" spans="2:2">
      <c r="B207" s="82"/>
    </row>
    <row r="208" spans="2:2">
      <c r="B208" s="82"/>
    </row>
    <row r="209" spans="2:2">
      <c r="B209" s="82"/>
    </row>
    <row r="210" spans="2:2">
      <c r="B210" s="82"/>
    </row>
    <row r="211" spans="2:2">
      <c r="B211" s="82"/>
    </row>
    <row r="212" spans="2:2">
      <c r="B212" s="82"/>
    </row>
    <row r="213" spans="2:2">
      <c r="B213" s="82"/>
    </row>
    <row r="214" spans="2:2">
      <c r="B214" s="82"/>
    </row>
    <row r="215" spans="2:2">
      <c r="B215" s="82"/>
    </row>
    <row r="216" spans="2:2">
      <c r="B216" s="82"/>
    </row>
    <row r="217" spans="2:2">
      <c r="B217" s="82"/>
    </row>
    <row r="218" spans="2:2">
      <c r="B218" s="82"/>
    </row>
    <row r="219" spans="2:2">
      <c r="B219" s="82"/>
    </row>
    <row r="220" spans="2:2">
      <c r="B220" s="82"/>
    </row>
    <row r="221" spans="2:2">
      <c r="B221" s="82"/>
    </row>
    <row r="222" spans="2:2">
      <c r="B222" s="82"/>
    </row>
    <row r="223" spans="2:2">
      <c r="B223" s="82"/>
    </row>
    <row r="224" spans="2:2">
      <c r="B224" s="82"/>
    </row>
    <row r="225" spans="2:2">
      <c r="B225" s="82"/>
    </row>
    <row r="226" spans="2:2">
      <c r="B226" s="82"/>
    </row>
    <row r="227" spans="2:2">
      <c r="B227" s="82"/>
    </row>
    <row r="228" spans="2:2">
      <c r="B228" s="82"/>
    </row>
    <row r="229" spans="2:2">
      <c r="B229" s="82"/>
    </row>
    <row r="230" spans="2:2">
      <c r="B230" s="82"/>
    </row>
    <row r="231" spans="2:2">
      <c r="B231" s="82"/>
    </row>
    <row r="232" spans="2:2">
      <c r="B232" s="82"/>
    </row>
    <row r="233" spans="2:2">
      <c r="B233" s="82"/>
    </row>
    <row r="234" spans="2:2">
      <c r="B234" s="82"/>
    </row>
    <row r="235" spans="2:2">
      <c r="B235" s="82"/>
    </row>
    <row r="236" spans="2:2">
      <c r="B236" s="82"/>
    </row>
    <row r="237" spans="2:2">
      <c r="B237" s="82"/>
    </row>
    <row r="238" spans="2:2">
      <c r="B238" s="82"/>
    </row>
    <row r="239" spans="2:2">
      <c r="B239" s="82"/>
    </row>
    <row r="240" spans="2:2">
      <c r="B240" s="82"/>
    </row>
    <row r="241" spans="2:2">
      <c r="B241" s="82"/>
    </row>
    <row r="242" spans="2:2">
      <c r="B242" s="82"/>
    </row>
    <row r="243" spans="2:2">
      <c r="B243" s="82"/>
    </row>
    <row r="244" spans="2:2">
      <c r="B244" s="82"/>
    </row>
    <row r="245" spans="2:2">
      <c r="B245" s="82"/>
    </row>
    <row r="246" spans="2:2">
      <c r="B246" s="82"/>
    </row>
    <row r="247" spans="2:2">
      <c r="B247" s="82"/>
    </row>
    <row r="248" spans="2:2">
      <c r="B248" s="82"/>
    </row>
    <row r="249" spans="2:2">
      <c r="B249" s="82"/>
    </row>
    <row r="250" spans="2:2">
      <c r="B250" s="82"/>
    </row>
    <row r="251" spans="2:2">
      <c r="B251" s="82"/>
    </row>
    <row r="252" spans="2:2">
      <c r="B252" s="82"/>
    </row>
    <row r="253" spans="2:2">
      <c r="B253" s="82"/>
    </row>
    <row r="254" spans="2:2">
      <c r="B254" s="82"/>
    </row>
    <row r="255" spans="2:2">
      <c r="B255" s="82"/>
    </row>
    <row r="256" spans="2:2">
      <c r="B256" s="82"/>
    </row>
    <row r="257" spans="2:2">
      <c r="B257" s="82"/>
    </row>
    <row r="258" spans="2:2">
      <c r="B258" s="82"/>
    </row>
    <row r="259" spans="2:2">
      <c r="B259" s="82"/>
    </row>
    <row r="260" spans="2:2">
      <c r="B260" s="82"/>
    </row>
    <row r="261" spans="2:2">
      <c r="B261" s="82"/>
    </row>
    <row r="262" spans="2:2">
      <c r="B262" s="82"/>
    </row>
    <row r="263" spans="2:2">
      <c r="B263" s="82"/>
    </row>
    <row r="264" spans="2:2">
      <c r="B264" s="82"/>
    </row>
    <row r="265" spans="2:2">
      <c r="B265" s="82"/>
    </row>
    <row r="266" spans="2:2">
      <c r="B266" s="82"/>
    </row>
    <row r="267" spans="2:2">
      <c r="B267" s="82"/>
    </row>
    <row r="268" spans="2:2">
      <c r="B268" s="82"/>
    </row>
    <row r="269" spans="2:2">
      <c r="B269" s="82"/>
    </row>
    <row r="270" spans="2:2">
      <c r="B270" s="82"/>
    </row>
    <row r="271" spans="2:2">
      <c r="B271" s="82"/>
    </row>
    <row r="272" spans="2:2">
      <c r="B272" s="82"/>
    </row>
    <row r="273" spans="2:2">
      <c r="B273" s="82"/>
    </row>
    <row r="274" spans="2:2">
      <c r="B274" s="82"/>
    </row>
    <row r="275" spans="2:2">
      <c r="B275" s="82"/>
    </row>
    <row r="276" spans="2:2">
      <c r="B276" s="82"/>
    </row>
    <row r="277" spans="2:2">
      <c r="B277" s="82"/>
    </row>
    <row r="278" spans="2:2">
      <c r="B278" s="82"/>
    </row>
    <row r="279" spans="2:2">
      <c r="B279" s="82"/>
    </row>
    <row r="280" spans="2:2">
      <c r="B280" s="82"/>
    </row>
    <row r="281" spans="2:2">
      <c r="B281" s="82"/>
    </row>
    <row r="282" spans="2:2">
      <c r="B282" s="82"/>
    </row>
    <row r="283" spans="2:2">
      <c r="B283" s="82"/>
    </row>
    <row r="284" spans="2:2">
      <c r="B284" s="82"/>
    </row>
    <row r="285" spans="2:2">
      <c r="B285" s="82"/>
    </row>
    <row r="286" spans="2:2">
      <c r="B286" s="82"/>
    </row>
    <row r="287" spans="2:2">
      <c r="B287" s="82"/>
    </row>
    <row r="288" spans="2:2">
      <c r="B288" s="82"/>
    </row>
    <row r="289" spans="2:2">
      <c r="B289" s="82"/>
    </row>
    <row r="290" spans="2:2">
      <c r="B290" s="82"/>
    </row>
    <row r="291" spans="2:2">
      <c r="B291" s="82"/>
    </row>
    <row r="292" spans="2:2">
      <c r="B292" s="82"/>
    </row>
    <row r="293" spans="2:2">
      <c r="B293" s="82"/>
    </row>
    <row r="294" spans="2:2">
      <c r="B294" s="82"/>
    </row>
    <row r="295" spans="2:2">
      <c r="B295" s="82"/>
    </row>
    <row r="296" spans="2:2">
      <c r="B296" s="82"/>
    </row>
    <row r="297" spans="2:2">
      <c r="B297" s="82"/>
    </row>
    <row r="298" spans="2:2">
      <c r="B298" s="82"/>
    </row>
    <row r="299" spans="2:2">
      <c r="B299" s="82"/>
    </row>
    <row r="300" spans="2:2">
      <c r="B300" s="82"/>
    </row>
    <row r="301" spans="2:2">
      <c r="B301" s="82"/>
    </row>
    <row r="302" spans="2:2">
      <c r="B302" s="82"/>
    </row>
    <row r="303" spans="2:2">
      <c r="B303" s="82"/>
    </row>
    <row r="304" spans="2:2">
      <c r="B304" s="82"/>
    </row>
    <row r="305" spans="2:2">
      <c r="B305" s="82"/>
    </row>
    <row r="306" spans="2:2">
      <c r="B306" s="82"/>
    </row>
    <row r="307" spans="2:2">
      <c r="B307" s="82"/>
    </row>
    <row r="308" spans="2:2">
      <c r="B308" s="82"/>
    </row>
    <row r="309" spans="2:2">
      <c r="B309" s="82"/>
    </row>
    <row r="310" spans="2:2">
      <c r="B310" s="82"/>
    </row>
    <row r="311" spans="2:2">
      <c r="B311" s="82"/>
    </row>
    <row r="312" spans="2:2">
      <c r="B312" s="82"/>
    </row>
    <row r="313" spans="2:2">
      <c r="B313" s="82"/>
    </row>
    <row r="314" spans="2:2">
      <c r="B314" s="82"/>
    </row>
    <row r="315" spans="2:2">
      <c r="B315" s="82"/>
    </row>
    <row r="316" spans="2:2">
      <c r="B316" s="82"/>
    </row>
    <row r="317" spans="2:2">
      <c r="B317" s="82"/>
    </row>
    <row r="318" spans="2:2">
      <c r="B318" s="82"/>
    </row>
    <row r="319" spans="2:2">
      <c r="B319" s="82"/>
    </row>
    <row r="320" spans="2:2">
      <c r="B320" s="82"/>
    </row>
    <row r="321" spans="2:2">
      <c r="B321" s="82"/>
    </row>
    <row r="322" spans="2:2">
      <c r="B322" s="82"/>
    </row>
    <row r="323" spans="2:2">
      <c r="B323" s="82"/>
    </row>
    <row r="324" spans="2:2">
      <c r="B324" s="82"/>
    </row>
    <row r="325" spans="2:2">
      <c r="B325" s="82"/>
    </row>
    <row r="326" spans="2:2">
      <c r="B326" s="82"/>
    </row>
    <row r="327" spans="2:2">
      <c r="B327" s="82"/>
    </row>
    <row r="328" spans="2:2">
      <c r="B328" s="82"/>
    </row>
    <row r="329" spans="2:2">
      <c r="B329" s="82"/>
    </row>
    <row r="330" spans="2:2">
      <c r="B330" s="82"/>
    </row>
    <row r="331" spans="2:2">
      <c r="B331" s="82"/>
    </row>
    <row r="332" spans="2:2">
      <c r="B332" s="82"/>
    </row>
    <row r="333" spans="2:2">
      <c r="B333" s="82"/>
    </row>
    <row r="334" spans="2:2">
      <c r="B334" s="82"/>
    </row>
    <row r="335" spans="2:2">
      <c r="B335" s="82"/>
    </row>
    <row r="336" spans="2:2">
      <c r="B336" s="82"/>
    </row>
    <row r="337" spans="2:2">
      <c r="B337" s="82"/>
    </row>
    <row r="338" spans="2:2">
      <c r="B338" s="82"/>
    </row>
  </sheetData>
  <mergeCells count="35">
    <mergeCell ref="A9:B9"/>
    <mergeCell ref="A1:F1"/>
    <mergeCell ref="G1:H1"/>
    <mergeCell ref="A2:C2"/>
    <mergeCell ref="D2:F2"/>
    <mergeCell ref="G2:H2"/>
    <mergeCell ref="A3:B5"/>
    <mergeCell ref="C3:C4"/>
    <mergeCell ref="D3:E4"/>
    <mergeCell ref="G3:H3"/>
    <mergeCell ref="G4:H4"/>
    <mergeCell ref="D5:E5"/>
    <mergeCell ref="G5:H5"/>
    <mergeCell ref="A6:B6"/>
    <mergeCell ref="A7:B7"/>
    <mergeCell ref="A8:B8"/>
    <mergeCell ref="A21:B21"/>
    <mergeCell ref="A10:B10"/>
    <mergeCell ref="A11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8:H34"/>
    <mergeCell ref="A22:B22"/>
    <mergeCell ref="A23:B23"/>
    <mergeCell ref="A24:C24"/>
    <mergeCell ref="F24:H24"/>
    <mergeCell ref="A25:B25"/>
    <mergeCell ref="G26:H26"/>
  </mergeCells>
  <dataValidations count="4">
    <dataValidation type="list" allowBlank="1" showInputMessage="1" showErrorMessage="1" sqref="G3" xr:uid="{00000000-0002-0000-0400-000000000000}">
      <formula1>Conferente</formula1>
    </dataValidation>
    <dataValidation type="list" allowBlank="1" showInputMessage="1" showErrorMessage="1" sqref="F7:F23" xr:uid="{00000000-0002-0000-0400-000001000000}">
      <formula1>Cidades</formula1>
    </dataValidation>
    <dataValidation type="list" allowBlank="1" showInputMessage="1" showErrorMessage="1" sqref="A7:B23" xr:uid="{00000000-0002-0000-0400-000002000000}">
      <formula1>NF</formula1>
    </dataValidation>
    <dataValidation type="list" allowBlank="1" showInputMessage="1" showErrorMessage="1" sqref="G7:G23" xr:uid="{00000000-0002-0000-0400-000003000000}">
      <formula1>Motorista</formula1>
    </dataValidation>
  </dataValidations>
  <pageMargins left="0.25" right="0.25" top="0.75" bottom="0.75" header="0.3" footer="0.3"/>
  <pageSetup paperSize="9" scale="56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MOTORISTA</vt:lpstr>
      <vt:lpstr>ENTREGADOR</vt:lpstr>
      <vt:lpstr>DEVOLUÇÃO</vt:lpstr>
      <vt:lpstr>BD</vt:lpstr>
      <vt:lpstr>VIVO MEDSIL</vt:lpstr>
      <vt:lpstr>DEVOLUÇÃO!Area_de_impressao</vt:lpstr>
      <vt:lpstr>MOTORISTA!Area_de_impressao</vt:lpstr>
      <vt:lpstr>'VIVO MEDSIL'!Area_de_impressao</vt:lpstr>
      <vt:lpstr>NF</vt:lpstr>
      <vt:lpstr>VEICULO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2026-05-05T02:28:06Z</cp:lastPrinted>
  <dcterms:created xsi:type="dcterms:W3CDTF">2023-08-17T12:04:00Z</dcterms:created>
  <dcterms:modified xsi:type="dcterms:W3CDTF">2026-05-05T02:49:56Z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2AB036131CA14260AB2B267781F433A3_12</vt:lpwstr>
  </property>
  <property fmtid="{D5CDD505-2E9C-101B-9397-08002B2CF9AE}" pid="3" name="KSOProductBuildVer">
    <vt:lpwstr>1046-12.2.0.20782</vt:lpwstr>
  </property>
</Properties>
</file>